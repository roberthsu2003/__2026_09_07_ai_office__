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45c0cb0e3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f12a575e24e4479d"/>
    <x:sheet xmlns:r="http://schemas.openxmlformats.org/officeDocument/2006/relationships" name="營收比較" sheetId="2" r:id="R463fbea1d2804435"/>
    <x:sheet xmlns:r="http://schemas.openxmlformats.org/officeDocument/2006/relationships" name="排名" sheetId="3" r:id="Rbd36d4cae6b74275"/>
    <x:sheet xmlns:r="http://schemas.openxmlformats.org/officeDocument/2006/relationships" name="來源查證" sheetId="4" r:id="R568f234a5bdd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–"/>
    <x:numFmt numFmtId="201" formatCode="0.00%;[Red](0.00%);–"/>
  </x:numFmts>
  <x:fonts count="11">
    <x:font>
      <x:sz val="11"/>
      <x:name val="Carlito"/>
    </x:font>
    <x:font>
      <x:b/>
      <x:sz val="15"/>
      <x:color rgb="FF183153"/>
      <x:name val="Aptos"/>
    </x:font>
    <x:font>
      <x:i/>
      <x:sz val="9"/>
      <x:color rgb="FF5B6573"/>
      <x:name val="Aptos"/>
    </x:font>
    <x:font>
      <x:b/>
      <x:sz val="10"/>
      <x:color rgb="FFFFFFFF"/>
      <x:name val="Aptos"/>
    </x:font>
    <x:font>
      <x:sz val="10"/>
      <x:color rgb="FF202936"/>
      <x:name val="Aptos"/>
    </x:font>
    <x:font>
      <x:sz val="9"/>
      <x:color rgb="FF0563C1"/>
      <x:name val="Aptos"/>
    </x:font>
    <x:font>
      <x:b/>
      <x:sz val="10"/>
      <x:color rgb="FF202936"/>
      <x:name val="Aptos"/>
    </x:font>
    <x:font>
      <x:sz val="10"/>
      <x:color rgb="FF805400"/>
      <x:name val="Aptos"/>
    </x:font>
    <x:font>
      <x:i/>
      <x:sz val="10"/>
      <x:color rgb="FF5B6573"/>
      <x:name val="Aptos"/>
    </x:font>
    <x:font>
      <x:i/>
      <x:sz val="10"/>
      <x:color rgb="FF202936"/>
      <x:name val="Aptos"/>
    </x:font>
    <x:font>
      <x:b/>
      <x:sz val="10"/>
      <x:color rgb="FF18315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45B83"/>
      </x:patternFill>
    </x:fill>
    <x:fill>
      <x:patternFill patternType="solid">
        <x:fgColor rgb="FFFFF2CC"/>
      </x:patternFill>
    </x:fill>
    <x:fill>
      <x:patternFill patternType="solid">
        <x:fgColor rgb="FFEAF1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32c4c35cc4fc1" /><Relationship Type="http://schemas.openxmlformats.org/officeDocument/2006/relationships/theme" Target="/xl/theme/theme1.xml" Id="R5337744c93db4843" /><Relationship Type="http://schemas.openxmlformats.org/officeDocument/2006/relationships/sharedStrings" Target="/xl/sharedStrings.xml" Id="R7249ce0cd5564f38" /><Relationship Type="http://schemas.openxmlformats.org/officeDocument/2006/relationships/worksheet" Target="/xl/worksheets/sheet1.xml" Id="Rf12a575e24e4479d" /><Relationship Type="http://schemas.openxmlformats.org/officeDocument/2006/relationships/worksheet" Target="/xl/worksheets/sheet2.xml" Id="R463fbea1d2804435" /><Relationship Type="http://schemas.openxmlformats.org/officeDocument/2006/relationships/worksheet" Target="/xl/worksheets/sheet3.xml" Id="Rbd36d4cae6b74275" /><Relationship Type="http://schemas.openxmlformats.org/officeDocument/2006/relationships/worksheet" Target="/xl/worksheets/sheet4.xml" Id="R568f234a5bdd4d7d" /></Relationships>
</file>

<file path=xl/tables/table1.xml><?xml version="1.0" encoding="utf-8"?>
<x:table xmlns:x="http://schemas.openxmlformats.org/spreadsheetml/2006/main" id="1" name="MonthlyRevenue" displayName="MonthlyRevenue" ref="A4:L42" headerRowCount="1" totalsRowCount="0" totalsRowShown="0">
  <x:tableColumns count="12">
    <x:tableColumn id="1" name="股票代號"/>
    <x:tableColumn id="2" name="公司名稱"/>
    <x:tableColumn id="3" name="市場"/>
    <x:tableColumn id="4" name="2026/09 營收"/>
    <x:tableColumn id="5" name="2026/08 營收"/>
    <x:tableColumn id="6" name="月增減金額"/>
    <x:tableColumn id="7" name="月增率"/>
    <x:tableColumn id="8" name="2025/09 營收"/>
    <x:tableColumn id="9" name="年增減金額"/>
    <x:tableColumn id="10" name="年增率"/>
    <x:tableColumn id="11" name="資料狀態"/>
    <x:tableColumn id="12" name="官方資料來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18ce7e351046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</x:cols>
  <x:sheetData>
    <x:row r="2">
      <x:c r="A2" s="1" t="str">
        <x:v>被動元件同業月營收分析</x:v>
      </x:c>
      <x:c r="B2" s="10"/>
    </x:row>
    <x:row r="3">
      <x:c r="A3" s="28" t="str">
        <x:v>分析月份</x:v>
      </x:c>
      <x:c r="B3" s="28" t="str">
        <x:v>2026年9月｜前月 2026年8月｜去年同期 2025年9月</x:v>
      </x:c>
    </x:row>
    <x:row r="4">
      <x:c r="A4" s="10"/>
      <x:c r="B4" s="10"/>
    </x:row>
    <x:row r="5">
      <x:c r="A5" s="7" t="str">
        <x:v>指標</x:v>
      </x:c>
      <x:c r="B5" s="7" t="str">
        <x:v>結果</x:v>
      </x:c>
    </x:row>
    <x:row r="6">
      <x:c r="A6" s="18" t="str">
        <x:v>清單涵蓋率</x:v>
      </x:c>
      <x:c r="B6" s="18" t="str">
        <x:f>COUNT('營收比較'!D5:D42)&amp;"/"&amp;COUNTA('營收比較'!A5:A42)</x:f>
        <x:v>37/38</x:v>
      </x:c>
    </x:row>
    <x:row r="7">
      <x:c r="A7" s="18" t="str">
        <x:v>月增公司數</x:v>
      </x:c>
      <x:c r="B7" s="18" t="n">
        <x:f>COUNTIF('營收比較'!F5:F42,"&gt;0")</x:f>
        <x:v>21</x:v>
      </x:c>
    </x:row>
    <x:row r="8">
      <x:c r="A8" s="18" t="str">
        <x:v>月減公司數</x:v>
      </x:c>
      <x:c r="B8" s="18" t="n">
        <x:f>COUNTIF('營收比較'!F5:F42,"&lt;0")</x:f>
        <x:v>16</x:v>
      </x:c>
    </x:row>
    <x:row r="9">
      <x:c r="A9" s="18" t="str">
        <x:v>未取得官方資料</x:v>
      </x:c>
      <x:c r="B9" s="18" t="n">
        <x:f>COUNTBLANK('營收比較'!D5:D42)</x:f>
        <x:v>1</x:v>
      </x:c>
    </x:row>
    <x:row r="10">
      <x:c r="A10" s="18"/>
      <x:c r="B10" s="18"/>
    </x:row>
    <x:row r="11">
      <x:c r="A11" s="18"/>
      <x:c r="B11" s="18"/>
    </x:row>
    <x:row r="12">
      <x:c r="A12" s="7" t="str">
        <x:v>本月重點</x:v>
      </x:c>
      <x:c r="B12" s="7" t="str">
        <x:v>觀察結果</x:v>
      </x:c>
    </x:row>
    <x:row r="13">
      <x:c r="A13" s="34" t="str">
        <x:v>月增率最高</x:v>
      </x:c>
      <x:c r="B13" s="18" t="str">
        <x:v>聯寶（32.53%）</x:v>
      </x:c>
    </x:row>
    <x:row r="14">
      <x:c r="A14" s="34" t="str">
        <x:v>月增率最低</x:v>
      </x:c>
      <x:c r="B14" s="18" t="str">
        <x:v>雷科（-16.88%）</x:v>
      </x:c>
    </x:row>
    <x:row r="15">
      <x:c r="A15" s="34" t="str">
        <x:v>年增率最高</x:v>
      </x:c>
      <x:c r="B15" s="18" t="str">
        <x:v>鈺鎧（109.81%）</x:v>
      </x:c>
    </x:row>
    <x:row r="16">
      <x:c r="A16" s="34" t="str">
        <x:v>年增率最低</x:v>
      </x:c>
      <x:c r="B16" s="18" t="str">
        <x:v>今展科（-12.92%）</x:v>
      </x:c>
    </x:row>
    <x:row r="17">
      <x:c r="A17" s="34" t="str">
        <x:v>資料缺漏</x:v>
      </x:c>
      <x:c r="B17" s="23" t="str">
        <x:v>3117 年程：官方彙總端點未回傳，未納入排名</x:v>
      </x:c>
    </x:row>
    <x:row r="18">
      <x:c r="A18" s="10"/>
      <x:c r="B18" s="10"/>
    </x:row>
    <x:row r="19">
      <x:c r="A19" s="10"/>
      <x:c r="B19" s="10"/>
    </x:row>
    <x:row r="20">
      <x:c r="A20" s="37" t="str">
        <x:v>37家官方資料完整：月增21家、月減16家。排名僅代表單月營收變動，不代表獲利或股價走勢。</x:v>
      </x:c>
      <x:c r="B20" s="37"/>
    </x:row>
  </x:sheetData>
  <x:mergeCells>
    <x:mergeCell ref="A20:B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4" hidden="0" customWidth="1"/>
    <x:col min="12" max="12" width="56" hidden="0" customWidth="1"/>
  </x:cols>
  <x:sheetData>
    <x:row r="1">
      <x:c r="A1" s="1" t="str">
        <x:v>被動元件同業月營收比較｜2026年9月</x:v>
      </x:c>
    </x:row>
    <x:row r="2">
      <x:c r="A2" s="2" t="str">
        <x:v>金額單位：新臺幣千元｜營收原始值依官方彙總端點；月增與年增金額、比率由本表公式計算。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34" customHeight="1">
      <x:c r="A4" s="7" t="str">
        <x:v>股票代號</x:v>
      </x:c>
      <x:c r="B4" s="7" t="str">
        <x:v>公司名稱</x:v>
      </x:c>
      <x:c r="C4" s="7" t="str">
        <x:v>市場</x:v>
      </x:c>
      <x:c r="D4" s="7" t="str">
        <x:v>2026/09 營收</x:v>
      </x:c>
      <x:c r="E4" s="7" t="str">
        <x:v>2026/08 營收</x:v>
      </x:c>
      <x:c r="F4" s="7" t="str">
        <x:v>月增減金額</x:v>
      </x:c>
      <x:c r="G4" s="7" t="str">
        <x:v>月增率</x:v>
      </x:c>
      <x:c r="H4" s="7" t="str">
        <x:v>2025/09 營收</x:v>
      </x:c>
      <x:c r="I4" s="7" t="str">
        <x:v>年增減金額</x:v>
      </x:c>
      <x:c r="J4" s="7" t="str">
        <x:v>年增率</x:v>
      </x:c>
      <x:c r="K4" s="7" t="str">
        <x:v>資料狀態</x:v>
      </x:c>
      <x:c r="L4" s="7" t="str">
        <x:v>官方資料來源</x:v>
      </x:c>
    </x:row>
    <x:row r="5">
      <x:c r="A5" s="18" t="str">
        <x:v>2308</x:v>
      </x:c>
      <x:c r="B5" s="18" t="str">
        <x:v>台達電</x:v>
      </x:c>
      <x:c r="C5" s="18" t="str">
        <x:v>上市</x:v>
      </x:c>
      <x:c r="D5" s="19" t="n">
        <x:v>65399563</x:v>
      </x:c>
      <x:c r="E5" s="19" t="n">
        <x:v>64586049</x:v>
      </x:c>
      <x:c r="F5" s="19" t="n">
        <x:f>IF(OR(D5="",E5=""),"",D5-E5)</x:f>
        <x:v>813514</x:v>
      </x:c>
      <x:c r="G5" s="20" t="n">
        <x:f>IF(OR(D5="",E5=""),"",IF(E5=0,"無法計算",D5/E5-1))</x:f>
        <x:v>0.012595816164571394</x:v>
      </x:c>
      <x:c r="H5" s="19" t="n">
        <x:v>57060781</x:v>
      </x:c>
      <x:c r="I5" s="19" t="n">
        <x:f>IF(OR(D5="",H5=""),"",D5-H5)</x:f>
        <x:v>8338782</x:v>
      </x:c>
      <x:c r="J5" s="20" t="n">
        <x:f>IF(OR(D5="",H5=""),"",IF(H5=0,"無法計算",D5/H5-1))</x:f>
        <x:v>0.1461385886043165</x:v>
      </x:c>
      <x:c r="K5" s="21" t="str">
        <x:v>已取得；公告日 115/10/13</x:v>
      </x:c>
      <x:c r="L5" s="22" t="str">
        <x:v>https://openapi.twse.com.tw/v1/opendata/t187ap05_L</x:v>
      </x:c>
    </x:row>
    <x:row r="6">
      <x:c r="A6" s="18" t="str">
        <x:v>2327</x:v>
      </x:c>
      <x:c r="B6" s="18" t="str">
        <x:v>國巨*</x:v>
      </x:c>
      <x:c r="C6" s="18" t="str">
        <x:v>上市</x:v>
      </x:c>
      <x:c r="D6" s="19" t="n">
        <x:v>17068153</x:v>
      </x:c>
      <x:c r="E6" s="19" t="n">
        <x:v>16332196</x:v>
      </x:c>
      <x:c r="F6" s="19" t="n">
        <x:f>IF(OR(D6="",E6=""),"",D6-E6)</x:f>
        <x:v>735957</x:v>
      </x:c>
      <x:c r="G6" s="20" t="n">
        <x:f>IF(OR(D6="",E6=""),"",IF(E6=0,"無法計算",D6/E6-1))</x:f>
        <x:v>0.0450617296045186</x:v>
      </x:c>
      <x:c r="H6" s="19" t="n">
        <x:v>11680869</x:v>
      </x:c>
      <x:c r="I6" s="19" t="n">
        <x:f>IF(OR(D6="",H6=""),"",D6-H6)</x:f>
        <x:v>5387284</x:v>
      </x:c>
      <x:c r="J6" s="20" t="n">
        <x:f>IF(OR(D6="",H6=""),"",IF(H6=0,"無法計算",D6/H6-1))</x:f>
        <x:v>0.46120575446912393</x:v>
      </x:c>
      <x:c r="K6" s="21" t="str">
        <x:v>已取得；公告日 115/10/13</x:v>
      </x:c>
      <x:c r="L6" s="22" t="str">
        <x:v>https://openapi.twse.com.tw/v1/opendata/t187ap05_L</x:v>
      </x:c>
    </x:row>
    <x:row r="7">
      <x:c r="A7" s="18" t="str">
        <x:v>2375</x:v>
      </x:c>
      <x:c r="B7" s="18" t="str">
        <x:v>凱美</x:v>
      </x:c>
      <x:c r="C7" s="18" t="str">
        <x:v>上市</x:v>
      </x:c>
      <x:c r="D7" s="19" t="n">
        <x:v>691692</x:v>
      </x:c>
      <x:c r="E7" s="19" t="n">
        <x:v>653794</x:v>
      </x:c>
      <x:c r="F7" s="19" t="n">
        <x:f>IF(OR(D7="",E7=""),"",D7-E7)</x:f>
        <x:v>37898</x:v>
      </x:c>
      <x:c r="G7" s="20" t="n">
        <x:f>IF(OR(D7="",E7=""),"",IF(E7=0,"無法計算",D7/E7-1))</x:f>
        <x:v>0.057966270721358626</x:v>
      </x:c>
      <x:c r="H7" s="19" t="n">
        <x:v>509164</x:v>
      </x:c>
      <x:c r="I7" s="19" t="n">
        <x:f>IF(OR(D7="",H7=""),"",D7-H7)</x:f>
        <x:v>182528</x:v>
      </x:c>
      <x:c r="J7" s="20" t="n">
        <x:f>IF(OR(D7="",H7=""),"",IF(H7=0,"無法計算",D7/H7-1))</x:f>
        <x:v>0.3584856745567244</x:v>
      </x:c>
      <x:c r="K7" s="21" t="str">
        <x:v>已取得；公告日 115/10/13</x:v>
      </x:c>
      <x:c r="L7" s="22" t="str">
        <x:v>https://openapi.twse.com.tw/v1/opendata/t187ap05_L</x:v>
      </x:c>
    </x:row>
    <x:row r="8">
      <x:c r="A8" s="18" t="str">
        <x:v>2428</x:v>
      </x:c>
      <x:c r="B8" s="18" t="str">
        <x:v>興勤</x:v>
      </x:c>
      <x:c r="C8" s="18" t="str">
        <x:v>上市</x:v>
      </x:c>
      <x:c r="D8" s="19" t="n">
        <x:v>1008842</x:v>
      </x:c>
      <x:c r="E8" s="19" t="n">
        <x:v>942587</x:v>
      </x:c>
      <x:c r="F8" s="19" t="n">
        <x:f>IF(OR(D8="",E8=""),"",D8-E8)</x:f>
        <x:v>66255</x:v>
      </x:c>
      <x:c r="G8" s="20" t="n">
        <x:f>IF(OR(D8="",E8=""),"",IF(E8=0,"無法計算",D8/E8-1))</x:f>
        <x:v>0.07029059386560599</x:v>
      </x:c>
      <x:c r="H8" s="19" t="n">
        <x:v>712386</x:v>
      </x:c>
      <x:c r="I8" s="19" t="n">
        <x:f>IF(OR(D8="",H8=""),"",D8-H8)</x:f>
        <x:v>296456</x:v>
      </x:c>
      <x:c r="J8" s="20" t="n">
        <x:f>IF(OR(D8="",H8=""),"",IF(H8=0,"無法計算",D8/H8-1))</x:f>
        <x:v>0.4161451797199833</x:v>
      </x:c>
      <x:c r="K8" s="21" t="str">
        <x:v>已取得；公告日 115/10/13</x:v>
      </x:c>
      <x:c r="L8" s="22" t="str">
        <x:v>https://openapi.twse.com.tw/v1/opendata/t187ap05_L</x:v>
      </x:c>
    </x:row>
    <x:row r="9">
      <x:c r="A9" s="18" t="str">
        <x:v>2472</x:v>
      </x:c>
      <x:c r="B9" s="18" t="str">
        <x:v>立隆電</x:v>
      </x:c>
      <x:c r="C9" s="18" t="str">
        <x:v>上市</x:v>
      </x:c>
      <x:c r="D9" s="19" t="n">
        <x:v>1338516</x:v>
      </x:c>
      <x:c r="E9" s="19" t="n">
        <x:v>1310529</x:v>
      </x:c>
      <x:c r="F9" s="19" t="n">
        <x:f>IF(OR(D9="",E9=""),"",D9-E9)</x:f>
        <x:v>27987</x:v>
      </x:c>
      <x:c r="G9" s="20" t="n">
        <x:f>IF(OR(D9="",E9=""),"",IF(E9=0,"無法計算",D9/E9-1))</x:f>
        <x:v>0.021355498428497155</x:v>
      </x:c>
      <x:c r="H9" s="19" t="n">
        <x:v>959427</x:v>
      </x:c>
      <x:c r="I9" s="19" t="n">
        <x:f>IF(OR(D9="",H9=""),"",D9-H9)</x:f>
        <x:v>379089</x:v>
      </x:c>
      <x:c r="J9" s="20" t="n">
        <x:f>IF(OR(D9="",H9=""),"",IF(H9=0,"無法計算",D9/H9-1))</x:f>
        <x:v>0.3951202123767623</x:v>
      </x:c>
      <x:c r="K9" s="21" t="str">
        <x:v>已取得；公告日 115/10/13</x:v>
      </x:c>
      <x:c r="L9" s="22" t="str">
        <x:v>https://openapi.twse.com.tw/v1/opendata/t187ap05_L</x:v>
      </x:c>
    </x:row>
    <x:row r="10">
      <x:c r="A10" s="18" t="str">
        <x:v>2478</x:v>
      </x:c>
      <x:c r="B10" s="18" t="str">
        <x:v>大毅</x:v>
      </x:c>
      <x:c r="C10" s="18" t="str">
        <x:v>上市</x:v>
      </x:c>
      <x:c r="D10" s="19" t="n">
        <x:v>590531</x:v>
      </x:c>
      <x:c r="E10" s="19" t="n">
        <x:v>636565</x:v>
      </x:c>
      <x:c r="F10" s="19" t="n">
        <x:f>IF(OR(D10="",E10=""),"",D10-E10)</x:f>
        <x:v>-46034</x:v>
      </x:c>
      <x:c r="G10" s="20" t="n">
        <x:f>IF(OR(D10="",E10=""),"",IF(E10=0,"無法計算",D10/E10-1))</x:f>
        <x:v>-0.07231625992632329</x:v>
      </x:c>
      <x:c r="H10" s="19" t="n">
        <x:v>454872</x:v>
      </x:c>
      <x:c r="I10" s="19" t="n">
        <x:f>IF(OR(D10="",H10=""),"",D10-H10)</x:f>
        <x:v>135659</x:v>
      </x:c>
      <x:c r="J10" s="20" t="n">
        <x:f>IF(OR(D10="",H10=""),"",IF(H10=0,"無法計算",D10/H10-1))</x:f>
        <x:v>0.2982355475826166</x:v>
      </x:c>
      <x:c r="K10" s="21" t="str">
        <x:v>已取得；公告日 115/10/13</x:v>
      </x:c>
      <x:c r="L10" s="22" t="str">
        <x:v>https://openapi.twse.com.tw/v1/opendata/t187ap05_L</x:v>
      </x:c>
    </x:row>
    <x:row r="11">
      <x:c r="A11" s="18" t="str">
        <x:v>2484</x:v>
      </x:c>
      <x:c r="B11" s="18" t="str">
        <x:v>希華</x:v>
      </x:c>
      <x:c r="C11" s="18" t="str">
        <x:v>上市</x:v>
      </x:c>
      <x:c r="D11" s="19" t="n">
        <x:v>248147</x:v>
      </x:c>
      <x:c r="E11" s="19" t="n">
        <x:v>227535</x:v>
      </x:c>
      <x:c r="F11" s="19" t="n">
        <x:f>IF(OR(D11="",E11=""),"",D11-E11)</x:f>
        <x:v>20612</x:v>
      </x:c>
      <x:c r="G11" s="20" t="n">
        <x:f>IF(OR(D11="",E11=""),"",IF(E11=0,"無法計算",D11/E11-1))</x:f>
        <x:v>0.09058826114663687</x:v>
      </x:c>
      <x:c r="H11" s="19" t="n">
        <x:v>201548</x:v>
      </x:c>
      <x:c r="I11" s="19" t="n">
        <x:f>IF(OR(D11="",H11=""),"",D11-H11)</x:f>
        <x:v>46599</x:v>
      </x:c>
      <x:c r="J11" s="20" t="n">
        <x:f>IF(OR(D11="",H11=""),"",IF(H11=0,"無法計算",D11/H11-1))</x:f>
        <x:v>0.2312054696647945</x:v>
      </x:c>
      <x:c r="K11" s="21" t="str">
        <x:v>已取得；公告日 115/10/13</x:v>
      </x:c>
      <x:c r="L11" s="22" t="str">
        <x:v>https://openapi.twse.com.tw/v1/opendata/t187ap05_L</x:v>
      </x:c>
    </x:row>
    <x:row r="12">
      <x:c r="A12" s="18" t="str">
        <x:v>2492</x:v>
      </x:c>
      <x:c r="B12" s="18" t="str">
        <x:v>華新科</x:v>
      </x:c>
      <x:c r="C12" s="18" t="str">
        <x:v>上市</x:v>
      </x:c>
      <x:c r="D12" s="19" t="n">
        <x:v>4889022</x:v>
      </x:c>
      <x:c r="E12" s="19" t="n">
        <x:v>4568665</x:v>
      </x:c>
      <x:c r="F12" s="19" t="n">
        <x:f>IF(OR(D12="",E12=""),"",D12-E12)</x:f>
        <x:v>320357</x:v>
      </x:c>
      <x:c r="G12" s="20" t="n">
        <x:f>IF(OR(D12="",E12=""),"",IF(E12=0,"無法計算",D12/E12-1))</x:f>
        <x:v>0.07012048377370639</x:v>
      </x:c>
      <x:c r="H12" s="19" t="n">
        <x:v>3176158</x:v>
      </x:c>
      <x:c r="I12" s="19" t="n">
        <x:f>IF(OR(D12="",H12=""),"",D12-H12)</x:f>
        <x:v>1712864</x:v>
      </x:c>
      <x:c r="J12" s="20" t="n">
        <x:f>IF(OR(D12="",H12=""),"",IF(H12=0,"無法計算",D12/H12-1))</x:f>
        <x:v>0.5392880329001266</x:v>
      </x:c>
      <x:c r="K12" s="21" t="str">
        <x:v>已取得；公告日 115/10/13</x:v>
      </x:c>
      <x:c r="L12" s="22" t="str">
        <x:v>https://openapi.twse.com.tw/v1/opendata/t187ap05_L</x:v>
      </x:c>
    </x:row>
    <x:row r="13">
      <x:c r="A13" s="18" t="str">
        <x:v>3026</x:v>
      </x:c>
      <x:c r="B13" s="18" t="str">
        <x:v>禾伸堂</x:v>
      </x:c>
      <x:c r="C13" s="18" t="str">
        <x:v>上市</x:v>
      </x:c>
      <x:c r="D13" s="19" t="n">
        <x:v>1597836</x:v>
      </x:c>
      <x:c r="E13" s="19" t="n">
        <x:v>1439761</x:v>
      </x:c>
      <x:c r="F13" s="19" t="n">
        <x:f>IF(OR(D13="",E13=""),"",D13-E13)</x:f>
        <x:v>158075</x:v>
      </x:c>
      <x:c r="G13" s="20" t="n">
        <x:f>IF(OR(D13="",E13=""),"",IF(E13=0,"無法計算",D13/E13-1))</x:f>
        <x:v>0.10979252806542195</x:v>
      </x:c>
      <x:c r="H13" s="19" t="n">
        <x:v>1257041</x:v>
      </x:c>
      <x:c r="I13" s="19" t="n">
        <x:f>IF(OR(D13="",H13=""),"",D13-H13)</x:f>
        <x:v>340795</x:v>
      </x:c>
      <x:c r="J13" s="20" t="n">
        <x:f>IF(OR(D13="",H13=""),"",IF(H13=0,"無法計算",D13/H13-1))</x:f>
        <x:v>0.27110889780046943</x:v>
      </x:c>
      <x:c r="K13" s="21" t="str">
        <x:v>已取得；公告日 115/10/13</x:v>
      </x:c>
      <x:c r="L13" s="22" t="str">
        <x:v>https://openapi.twse.com.tw/v1/opendata/t187ap05_L</x:v>
      </x:c>
    </x:row>
    <x:row r="14">
      <x:c r="A14" s="18" t="str">
        <x:v>3090</x:v>
      </x:c>
      <x:c r="B14" s="18" t="str">
        <x:v>日電貿</x:v>
      </x:c>
      <x:c r="C14" s="18" t="str">
        <x:v>上市</x:v>
      </x:c>
      <x:c r="D14" s="19" t="n">
        <x:v>1852758</x:v>
      </x:c>
      <x:c r="E14" s="19" t="n">
        <x:v>1912802</x:v>
      </x:c>
      <x:c r="F14" s="19" t="n">
        <x:f>IF(OR(D14="",E14=""),"",D14-E14)</x:f>
        <x:v>-60044</x:v>
      </x:c>
      <x:c r="G14" s="20" t="n">
        <x:f>IF(OR(D14="",E14=""),"",IF(E14=0,"無法計算",D14/E14-1))</x:f>
        <x:v>-0.03139059871330119</x:v>
      </x:c>
      <x:c r="H14" s="19" t="n">
        <x:v>1411397</x:v>
      </x:c>
      <x:c r="I14" s="19" t="n">
        <x:f>IF(OR(D14="",H14=""),"",D14-H14)</x:f>
        <x:v>441361</x:v>
      </x:c>
      <x:c r="J14" s="20" t="n">
        <x:f>IF(OR(D14="",H14=""),"",IF(H14=0,"無法計算",D14/H14-1))</x:f>
        <x:v>0.3127121568205118</x:v>
      </x:c>
      <x:c r="K14" s="21" t="str">
        <x:v>已取得；公告日 115/10/13</x:v>
      </x:c>
      <x:c r="L14" s="22" t="str">
        <x:v>https://openapi.twse.com.tw/v1/opendata/t187ap05_L</x:v>
      </x:c>
    </x:row>
    <x:row r="15">
      <x:c r="A15" s="18" t="str">
        <x:v>3117</x:v>
      </x:c>
      <x:c r="B15" s="18" t="str">
        <x:v>年程</x:v>
      </x:c>
      <x:c r="C15" s="18" t="str">
        <x:v>上櫃</x:v>
      </x:c>
      <x:c r="D15" s="19"/>
      <x:c r="E15" s="19"/>
      <x:c r="F15" s="19" t="str">
        <x:f>IF(OR(D15="",E15=""),"",D15-E15)</x:f>
      </x:c>
      <x:c r="G15" s="20" t="str">
        <x:f>IF(OR(D15="",E15=""),"",IF(E15=0,"無法計算",D15/E15-1))</x:f>
      </x:c>
      <x:c r="H15" s="19"/>
      <x:c r="I15" s="19" t="str">
        <x:f>IF(OR(D15="",H15=""),"",D15-H15)</x:f>
      </x:c>
      <x:c r="J15" s="20" t="str">
        <x:f>IF(OR(D15="",H15=""),"",IF(H15=0,"無法計算",D15/H15-1))</x:f>
      </x:c>
      <x:c r="K15" s="21" t="str">
        <x:v>無法確認：官方彙總端點未回傳</x:v>
      </x:c>
      <x:c r="L15" s="22" t="str">
        <x:v>https://www.tpex.org.tw/openapi/v1/mopsfin_t187ap05_O</x:v>
      </x:c>
    </x:row>
    <x:row r="16">
      <x:c r="A16" s="18" t="str">
        <x:v>3236</x:v>
      </x:c>
      <x:c r="B16" s="18" t="str">
        <x:v>千如</x:v>
      </x:c>
      <x:c r="C16" s="18" t="str">
        <x:v>上櫃</x:v>
      </x:c>
      <x:c r="D16" s="19" t="n">
        <x:v>231737</x:v>
      </x:c>
      <x:c r="E16" s="19" t="n">
        <x:v>222684</x:v>
      </x:c>
      <x:c r="F16" s="19" t="n">
        <x:f>IF(OR(D16="",E16=""),"",D16-E16)</x:f>
        <x:v>9053</x:v>
      </x:c>
      <x:c r="G16" s="20" t="n">
        <x:f>IF(OR(D16="",E16=""),"",IF(E16=0,"無法計算",D16/E16-1))</x:f>
        <x:v>0.040654020944477454</x:v>
      </x:c>
      <x:c r="H16" s="19" t="n">
        <x:v>181952</x:v>
      </x:c>
      <x:c r="I16" s="19" t="n">
        <x:f>IF(OR(D16="",H16=""),"",D16-H16)</x:f>
        <x:v>49785</x:v>
      </x:c>
      <x:c r="J16" s="20" t="n">
        <x:f>IF(OR(D16="",H16=""),"",IF(H16=0,"無法計算",D16/H16-1))</x:f>
        <x:v>0.27361611853675694</x:v>
      </x:c>
      <x:c r="K16" s="21" t="str">
        <x:v>已取得；公告日 115/10/14</x:v>
      </x:c>
      <x:c r="L16" s="22" t="str">
        <x:v>https://www.tpex.org.tw/openapi/v1/mopsfin_t187ap05_O</x:v>
      </x:c>
    </x:row>
    <x:row r="17">
      <x:c r="A17" s="18" t="str">
        <x:v>3357</x:v>
      </x:c>
      <x:c r="B17" s="18" t="str">
        <x:v>臺慶科</x:v>
      </x:c>
      <x:c r="C17" s="18" t="str">
        <x:v>上櫃</x:v>
      </x:c>
      <x:c r="D17" s="19" t="n">
        <x:v>855038</x:v>
      </x:c>
      <x:c r="E17" s="19" t="n">
        <x:v>815423</x:v>
      </x:c>
      <x:c r="F17" s="19" t="n">
        <x:f>IF(OR(D17="",E17=""),"",D17-E17)</x:f>
        <x:v>39615</x:v>
      </x:c>
      <x:c r="G17" s="20" t="n">
        <x:f>IF(OR(D17="",E17=""),"",IF(E17=0,"無法計算",D17/E17-1))</x:f>
        <x:v>0.048582146934781134</x:v>
      </x:c>
      <x:c r="H17" s="19" t="n">
        <x:v>578532</x:v>
      </x:c>
      <x:c r="I17" s="19" t="n">
        <x:f>IF(OR(D17="",H17=""),"",D17-H17)</x:f>
        <x:v>276506</x:v>
      </x:c>
      <x:c r="J17" s="20" t="n">
        <x:f>IF(OR(D17="",H17=""),"",IF(H17=0,"無法計算",D17/H17-1))</x:f>
        <x:v>0.4779441759487808</x:v>
      </x:c>
      <x:c r="K17" s="21" t="str">
        <x:v>已取得；公告日 115/10/14</x:v>
      </x:c>
      <x:c r="L17" s="22" t="str">
        <x:v>https://www.tpex.org.tw/openapi/v1/mopsfin_t187ap05_O</x:v>
      </x:c>
    </x:row>
    <x:row r="18">
      <x:c r="A18" s="18" t="str">
        <x:v>3624</x:v>
      </x:c>
      <x:c r="B18" s="18" t="str">
        <x:v>光頡</x:v>
      </x:c>
      <x:c r="C18" s="18" t="str">
        <x:v>上櫃</x:v>
      </x:c>
      <x:c r="D18" s="19" t="n">
        <x:v>380218</x:v>
      </x:c>
      <x:c r="E18" s="19" t="n">
        <x:v>367119</x:v>
      </x:c>
      <x:c r="F18" s="19" t="n">
        <x:f>IF(OR(D18="",E18=""),"",D18-E18)</x:f>
        <x:v>13099</x:v>
      </x:c>
      <x:c r="G18" s="20" t="n">
        <x:f>IF(OR(D18="",E18=""),"",IF(E18=0,"無法計算",D18/E18-1))</x:f>
        <x:v>0.03568052865692062</x:v>
      </x:c>
      <x:c r="H18" s="19" t="n">
        <x:v>227096</x:v>
      </x:c>
      <x:c r="I18" s="19" t="n">
        <x:f>IF(OR(D18="",H18=""),"",D18-H18)</x:f>
        <x:v>153122</x:v>
      </x:c>
      <x:c r="J18" s="20" t="n">
        <x:f>IF(OR(D18="",H18=""),"",IF(H18=0,"無法計算",D18/H18-1))</x:f>
        <x:v>0.6742611054355867</x:v>
      </x:c>
      <x:c r="K18" s="21" t="str">
        <x:v>已取得；公告日 115/10/14</x:v>
      </x:c>
      <x:c r="L18" s="22" t="str">
        <x:v>https://www.tpex.org.tw/openapi/v1/mopsfin_t187ap05_O</x:v>
      </x:c>
    </x:row>
    <x:row r="19">
      <x:c r="A19" s="18" t="str">
        <x:v>3663</x:v>
      </x:c>
      <x:c r="B19" s="18" t="str">
        <x:v>鑫科</x:v>
      </x:c>
      <x:c r="C19" s="18" t="str">
        <x:v>上櫃</x:v>
      </x:c>
      <x:c r="D19" s="19" t="n">
        <x:v>583699</x:v>
      </x:c>
      <x:c r="E19" s="19" t="n">
        <x:v>497170</x:v>
      </x:c>
      <x:c r="F19" s="19" t="n">
        <x:f>IF(OR(D19="",E19=""),"",D19-E19)</x:f>
        <x:v>86529</x:v>
      </x:c>
      <x:c r="G19" s="20" t="n">
        <x:f>IF(OR(D19="",E19=""),"",IF(E19=0,"無法計算",D19/E19-1))</x:f>
        <x:v>0.1740430838546172</x:v>
      </x:c>
      <x:c r="H19" s="19" t="n">
        <x:v>373011</x:v>
      </x:c>
      <x:c r="I19" s="19" t="n">
        <x:f>IF(OR(D19="",H19=""),"",D19-H19)</x:f>
        <x:v>210688</x:v>
      </x:c>
      <x:c r="J19" s="20" t="n">
        <x:f>IF(OR(D19="",H19=""),"",IF(H19=0,"無法計算",D19/H19-1))</x:f>
        <x:v>0.5648305277860439</x:v>
      </x:c>
      <x:c r="K19" s="21" t="str">
        <x:v>已取得；公告日 115/10/14</x:v>
      </x:c>
      <x:c r="L19" s="22" t="str">
        <x:v>https://www.tpex.org.tw/openapi/v1/mopsfin_t187ap05_O</x:v>
      </x:c>
    </x:row>
    <x:row r="20">
      <x:c r="A20" s="18" t="str">
        <x:v>4760</x:v>
      </x:c>
      <x:c r="B20" s="18" t="str">
        <x:v>勤凱科技</x:v>
      </x:c>
      <x:c r="C20" s="18" t="str">
        <x:v>上櫃</x:v>
      </x:c>
      <x:c r="D20" s="19" t="n">
        <x:v>303814</x:v>
      </x:c>
      <x:c r="E20" s="19" t="n">
        <x:v>305090</x:v>
      </x:c>
      <x:c r="F20" s="19" t="n">
        <x:f>IF(OR(D20="",E20=""),"",D20-E20)</x:f>
        <x:v>-1276</x:v>
      </x:c>
      <x:c r="G20" s="20" t="n">
        <x:f>IF(OR(D20="",E20=""),"",IF(E20=0,"無法計算",D20/E20-1))</x:f>
        <x:v>-0.004182372414697322</x:v>
      </x:c>
      <x:c r="H20" s="19" t="n">
        <x:v>172303</x:v>
      </x:c>
      <x:c r="I20" s="19" t="n">
        <x:f>IF(OR(D20="",H20=""),"",D20-H20)</x:f>
        <x:v>131511</x:v>
      </x:c>
      <x:c r="J20" s="20" t="n">
        <x:f>IF(OR(D20="",H20=""),"",IF(H20=0,"無法計算",D20/H20-1))</x:f>
        <x:v>0.7632542671920977</x:v>
      </x:c>
      <x:c r="K20" s="21" t="str">
        <x:v>已取得；公告日 115/10/14</x:v>
      </x:c>
      <x:c r="L20" s="22" t="str">
        <x:v>https://www.tpex.org.tw/openapi/v1/mopsfin_t187ap05_O</x:v>
      </x:c>
    </x:row>
    <x:row r="21">
      <x:c r="A21" s="18" t="str">
        <x:v>5228</x:v>
      </x:c>
      <x:c r="B21" s="18" t="str">
        <x:v>鈺鎧</x:v>
      </x:c>
      <x:c r="C21" s="18" t="str">
        <x:v>上櫃</x:v>
      </x:c>
      <x:c r="D21" s="19" t="n">
        <x:v>90739</x:v>
      </x:c>
      <x:c r="E21" s="19" t="n">
        <x:v>71765</x:v>
      </x:c>
      <x:c r="F21" s="19" t="n">
        <x:f>IF(OR(D21="",E21=""),"",D21-E21)</x:f>
        <x:v>18974</x:v>
      </x:c>
      <x:c r="G21" s="20" t="n">
        <x:f>IF(OR(D21="",E21=""),"",IF(E21=0,"無法計算",D21/E21-1))</x:f>
        <x:v>0.26439071971016515</x:v>
      </x:c>
      <x:c r="H21" s="19" t="n">
        <x:v>43249</x:v>
      </x:c>
      <x:c r="I21" s="19" t="n">
        <x:f>IF(OR(D21="",H21=""),"",D21-H21)</x:f>
        <x:v>47490</x:v>
      </x:c>
      <x:c r="J21" s="20" t="n">
        <x:f>IF(OR(D21="",H21=""),"",IF(H21=0,"無法計算",D21/H21-1))</x:f>
        <x:v>1.098060070753081</x:v>
      </x:c>
      <x:c r="K21" s="21" t="str">
        <x:v>已取得；公告日 115/10/14</x:v>
      </x:c>
      <x:c r="L21" s="22" t="str">
        <x:v>https://www.tpex.org.tw/openapi/v1/mopsfin_t187ap05_O</x:v>
      </x:c>
    </x:row>
    <x:row r="22">
      <x:c r="A22" s="18" t="str">
        <x:v>5328</x:v>
      </x:c>
      <x:c r="B22" s="18" t="str">
        <x:v>華容</x:v>
      </x:c>
      <x:c r="C22" s="18" t="str">
        <x:v>上櫃</x:v>
      </x:c>
      <x:c r="D22" s="19" t="n">
        <x:v>87592</x:v>
      </x:c>
      <x:c r="E22" s="19" t="n">
        <x:v>99782</x:v>
      </x:c>
      <x:c r="F22" s="19" t="n">
        <x:f>IF(OR(D22="",E22=""),"",D22-E22)</x:f>
        <x:v>-12190</x:v>
      </x:c>
      <x:c r="G22" s="20" t="n">
        <x:f>IF(OR(D22="",E22=""),"",IF(E22=0,"無法計算",D22/E22-1))</x:f>
        <x:v>-0.12216632258323146</x:v>
      </x:c>
      <x:c r="H22" s="19" t="n">
        <x:v>80199</x:v>
      </x:c>
      <x:c r="I22" s="19" t="n">
        <x:f>IF(OR(D22="",H22=""),"",D22-H22)</x:f>
        <x:v>7393</x:v>
      </x:c>
      <x:c r="J22" s="20" t="n">
        <x:f>IF(OR(D22="",H22=""),"",IF(H22=0,"無法計算",D22/H22-1))</x:f>
        <x:v>0.09218319430416844</x:v>
      </x:c>
      <x:c r="K22" s="21" t="str">
        <x:v>已取得；公告日 115/10/14</x:v>
      </x:c>
      <x:c r="L22" s="22" t="str">
        <x:v>https://www.tpex.org.tw/openapi/v1/mopsfin_t187ap05_O</x:v>
      </x:c>
    </x:row>
    <x:row r="23">
      <x:c r="A23" s="18" t="str">
        <x:v>5434</x:v>
      </x:c>
      <x:c r="B23" s="18" t="str">
        <x:v>崇越</x:v>
      </x:c>
      <x:c r="C23" s="18" t="str">
        <x:v>上市</x:v>
      </x:c>
      <x:c r="D23" s="19" t="n">
        <x:v>7701235</x:v>
      </x:c>
      <x:c r="E23" s="19" t="n">
        <x:v>7791761</x:v>
      </x:c>
      <x:c r="F23" s="19" t="n">
        <x:f>IF(OR(D23="",E23=""),"",D23-E23)</x:f>
        <x:v>-90526</x:v>
      </x:c>
      <x:c r="G23" s="20" t="n">
        <x:f>IF(OR(D23="",E23=""),"",IF(E23=0,"無法計算",D23/E23-1))</x:f>
        <x:v>-0.011618169499808872</x:v>
      </x:c>
      <x:c r="H23" s="19" t="n">
        <x:v>6092008</x:v>
      </x:c>
      <x:c r="I23" s="19" t="n">
        <x:f>IF(OR(D23="",H23=""),"",D23-H23)</x:f>
        <x:v>1609227</x:v>
      </x:c>
      <x:c r="J23" s="20" t="n">
        <x:f>IF(OR(D23="",H23=""),"",IF(H23=0,"無法計算",D23/H23-1))</x:f>
        <x:v>0.2641537896864219</x:v>
      </x:c>
      <x:c r="K23" s="21" t="str">
        <x:v>已取得；公告日 115/10/13</x:v>
      </x:c>
      <x:c r="L23" s="22" t="str">
        <x:v>https://openapi.twse.com.tw/v1/opendata/t187ap05_L</x:v>
      </x:c>
    </x:row>
    <x:row r="24">
      <x:c r="A24" s="18" t="str">
        <x:v>6127</x:v>
      </x:c>
      <x:c r="B24" s="18" t="str">
        <x:v>九豪</x:v>
      </x:c>
      <x:c r="C24" s="18" t="str">
        <x:v>上櫃</x:v>
      </x:c>
      <x:c r="D24" s="19" t="n">
        <x:v>96070</x:v>
      </x:c>
      <x:c r="E24" s="19" t="n">
        <x:v>107429</x:v>
      </x:c>
      <x:c r="F24" s="19" t="n">
        <x:f>IF(OR(D24="",E24=""),"",D24-E24)</x:f>
        <x:v>-11359</x:v>
      </x:c>
      <x:c r="G24" s="20" t="n">
        <x:f>IF(OR(D24="",E24=""),"",IF(E24=0,"無法計算",D24/E24-1))</x:f>
        <x:v>-0.10573495052546333</x:v>
      </x:c>
      <x:c r="H24" s="19" t="n">
        <x:v>62214</x:v>
      </x:c>
      <x:c r="I24" s="19" t="n">
        <x:f>IF(OR(D24="",H24=""),"",D24-H24)</x:f>
        <x:v>33856</x:v>
      </x:c>
      <x:c r="J24" s="20" t="n">
        <x:f>IF(OR(D24="",H24=""),"",IF(H24=0,"無法計算",D24/H24-1))</x:f>
        <x:v>0.5441861960330472</x:v>
      </x:c>
      <x:c r="K24" s="21" t="str">
        <x:v>已取得；公告日 115/10/14</x:v>
      </x:c>
      <x:c r="L24" s="22" t="str">
        <x:v>https://www.tpex.org.tw/openapi/v1/mopsfin_t187ap05_O</x:v>
      </x:c>
    </x:row>
    <x:row r="25">
      <x:c r="A25" s="18" t="str">
        <x:v>6155</x:v>
      </x:c>
      <x:c r="B25" s="18" t="str">
        <x:v>鈞寶</x:v>
      </x:c>
      <x:c r="C25" s="18" t="str">
        <x:v>上市</x:v>
      </x:c>
      <x:c r="D25" s="19" t="n">
        <x:v>82761</x:v>
      </x:c>
      <x:c r="E25" s="19" t="n">
        <x:v>75032</x:v>
      </x:c>
      <x:c r="F25" s="19" t="n">
        <x:f>IF(OR(D25="",E25=""),"",D25-E25)</x:f>
        <x:v>7729</x:v>
      </x:c>
      <x:c r="G25" s="20" t="n">
        <x:f>IF(OR(D25="",E25=""),"",IF(E25=0,"無法計算",D25/E25-1))</x:f>
        <x:v>0.10300938266339688</x:v>
      </x:c>
      <x:c r="H25" s="19" t="n">
        <x:v>60989</x:v>
      </x:c>
      <x:c r="I25" s="19" t="n">
        <x:f>IF(OR(D25="",H25=""),"",D25-H25)</x:f>
        <x:v>21772</x:v>
      </x:c>
      <x:c r="J25" s="20" t="n">
        <x:f>IF(OR(D25="",H25=""),"",IF(H25=0,"無法計算",D25/H25-1))</x:f>
        <x:v>0.3569824066634968</x:v>
      </x:c>
      <x:c r="K25" s="21" t="str">
        <x:v>已取得；公告日 115/10/13</x:v>
      </x:c>
      <x:c r="L25" s="22" t="str">
        <x:v>https://openapi.twse.com.tw/v1/opendata/t187ap05_L</x:v>
      </x:c>
    </x:row>
    <x:row r="26">
      <x:c r="A26" s="18" t="str">
        <x:v>6156</x:v>
      </x:c>
      <x:c r="B26" s="18" t="str">
        <x:v>松上</x:v>
      </x:c>
      <x:c r="C26" s="18" t="str">
        <x:v>上櫃</x:v>
      </x:c>
      <x:c r="D26" s="19" t="n">
        <x:v>623348</x:v>
      </x:c>
      <x:c r="E26" s="19" t="n">
        <x:v>576555</x:v>
      </x:c>
      <x:c r="F26" s="19" t="n">
        <x:f>IF(OR(D26="",E26=""),"",D26-E26)</x:f>
        <x:v>46793</x:v>
      </x:c>
      <x:c r="G26" s="20" t="n">
        <x:f>IF(OR(D26="",E26=""),"",IF(E26=0,"無法計算",D26/E26-1))</x:f>
        <x:v>0.08115964652114727</x:v>
      </x:c>
      <x:c r="H26" s="19" t="n">
        <x:v>338217</x:v>
      </x:c>
      <x:c r="I26" s="19" t="n">
        <x:f>IF(OR(D26="",H26=""),"",D26-H26)</x:f>
        <x:v>285131</x:v>
      </x:c>
      <x:c r="J26" s="20" t="n">
        <x:f>IF(OR(D26="",H26=""),"",IF(H26=0,"無法計算",D26/H26-1))</x:f>
        <x:v>0.8430415975542329</x:v>
      </x:c>
      <x:c r="K26" s="21" t="str">
        <x:v>已取得；公告日 115/10/14</x:v>
      </x:c>
      <x:c r="L26" s="22" t="str">
        <x:v>https://www.tpex.org.tw/openapi/v1/mopsfin_t187ap05_O</x:v>
      </x:c>
    </x:row>
    <x:row r="27">
      <x:c r="A27" s="18" t="str">
        <x:v>6173</x:v>
      </x:c>
      <x:c r="B27" s="18" t="str">
        <x:v>信昌電</x:v>
      </x:c>
      <x:c r="C27" s="18" t="str">
        <x:v>上櫃</x:v>
      </x:c>
      <x:c r="D27" s="19" t="n">
        <x:v>526646</x:v>
      </x:c>
      <x:c r="E27" s="19" t="n">
        <x:v>551669</x:v>
      </x:c>
      <x:c r="F27" s="19" t="n">
        <x:f>IF(OR(D27="",E27=""),"",D27-E27)</x:f>
        <x:v>-25023</x:v>
      </x:c>
      <x:c r="G27" s="20" t="n">
        <x:f>IF(OR(D27="",E27=""),"",IF(E27=0,"無法計算",D27/E27-1))</x:f>
        <x:v>-0.045358720537133634</x:v>
      </x:c>
      <x:c r="H27" s="19" t="n">
        <x:v>340292</x:v>
      </x:c>
      <x:c r="I27" s="19" t="n">
        <x:f>IF(OR(D27="",H27=""),"",D27-H27)</x:f>
        <x:v>186354</x:v>
      </x:c>
      <x:c r="J27" s="20" t="n">
        <x:f>IF(OR(D27="",H27=""),"",IF(H27=0,"無法計算",D27/H27-1))</x:f>
        <x:v>0.547629682743056</x:v>
      </x:c>
      <x:c r="K27" s="21" t="str">
        <x:v>已取得；公告日 115/10/14</x:v>
      </x:c>
      <x:c r="L27" s="22" t="str">
        <x:v>https://www.tpex.org.tw/openapi/v1/mopsfin_t187ap05_O</x:v>
      </x:c>
    </x:row>
    <x:row r="28">
      <x:c r="A28" s="18" t="str">
        <x:v>6174</x:v>
      </x:c>
      <x:c r="B28" s="18" t="str">
        <x:v>安碁</x:v>
      </x:c>
      <x:c r="C28" s="18" t="str">
        <x:v>上櫃</x:v>
      </x:c>
      <x:c r="D28" s="19" t="n">
        <x:v>67750</x:v>
      </x:c>
      <x:c r="E28" s="19" t="n">
        <x:v>66923</x:v>
      </x:c>
      <x:c r="F28" s="19" t="n">
        <x:f>IF(OR(D28="",E28=""),"",D28-E28)</x:f>
        <x:v>827</x:v>
      </x:c>
      <x:c r="G28" s="20" t="n">
        <x:f>IF(OR(D28="",E28=""),"",IF(E28=0,"無法計算",D28/E28-1))</x:f>
        <x:v>0.012357485468374119</x:v>
      </x:c>
      <x:c r="H28" s="19" t="n">
        <x:v>50985</x:v>
      </x:c>
      <x:c r="I28" s="19" t="n">
        <x:f>IF(OR(D28="",H28=""),"",D28-H28)</x:f>
        <x:v>16765</x:v>
      </x:c>
      <x:c r="J28" s="20" t="n">
        <x:f>IF(OR(D28="",H28=""),"",IF(H28=0,"無法計算",D28/H28-1))</x:f>
        <x:v>0.3288222026086103</x:v>
      </x:c>
      <x:c r="K28" s="21" t="str">
        <x:v>已取得；公告日 115/10/14</x:v>
      </x:c>
      <x:c r="L28" s="22" t="str">
        <x:v>https://www.tpex.org.tw/openapi/v1/mopsfin_t187ap05_O</x:v>
      </x:c>
    </x:row>
    <x:row r="29">
      <x:c r="A29" s="18" t="str">
        <x:v>6175</x:v>
      </x:c>
      <x:c r="B29" s="18" t="str">
        <x:v>立敦</x:v>
      </x:c>
      <x:c r="C29" s="18" t="str">
        <x:v>上櫃</x:v>
      </x:c>
      <x:c r="D29" s="19" t="n">
        <x:v>478248</x:v>
      </x:c>
      <x:c r="E29" s="19" t="n">
        <x:v>484052</x:v>
      </x:c>
      <x:c r="F29" s="19" t="n">
        <x:f>IF(OR(D29="",E29=""),"",D29-E29)</x:f>
        <x:v>-5804</x:v>
      </x:c>
      <x:c r="G29" s="20" t="n">
        <x:f>IF(OR(D29="",E29=""),"",IF(E29=0,"無法計算",D29/E29-1))</x:f>
        <x:v>-0.011990447307314134</x:v>
      </x:c>
      <x:c r="H29" s="19" t="n">
        <x:v>340979</x:v>
      </x:c>
      <x:c r="I29" s="19" t="n">
        <x:f>IF(OR(D29="",H29=""),"",D29-H29)</x:f>
        <x:v>137269</x:v>
      </x:c>
      <x:c r="J29" s="20" t="n">
        <x:f>IF(OR(D29="",H29=""),"",IF(H29=0,"無法計算",D29/H29-1))</x:f>
        <x:v>0.4025731789934277</x:v>
      </x:c>
      <x:c r="K29" s="21" t="str">
        <x:v>已取得；公告日 115/10/14</x:v>
      </x:c>
      <x:c r="L29" s="22" t="str">
        <x:v>https://www.tpex.org.tw/openapi/v1/mopsfin_t187ap05_O</x:v>
      </x:c>
    </x:row>
    <x:row r="30">
      <x:c r="A30" s="18" t="str">
        <x:v>6204</x:v>
      </x:c>
      <x:c r="B30" s="18" t="str">
        <x:v>艾華</x:v>
      </x:c>
      <x:c r="C30" s="18" t="str">
        <x:v>上櫃</x:v>
      </x:c>
      <x:c r="D30" s="19" t="n">
        <x:v>35895</x:v>
      </x:c>
      <x:c r="E30" s="19" t="n">
        <x:v>35672</x:v>
      </x:c>
      <x:c r="F30" s="19" t="n">
        <x:f>IF(OR(D30="",E30=""),"",D30-E30)</x:f>
        <x:v>223</x:v>
      </x:c>
      <x:c r="G30" s="20" t="n">
        <x:f>IF(OR(D30="",E30=""),"",IF(E30=0,"無法計算",D30/E30-1))</x:f>
        <x:v>0.006251401659564948</x:v>
      </x:c>
      <x:c r="H30" s="19" t="n">
        <x:v>38189</x:v>
      </x:c>
      <x:c r="I30" s="19" t="n">
        <x:f>IF(OR(D30="",H30=""),"",D30-H30)</x:f>
        <x:v>-2294</x:v>
      </x:c>
      <x:c r="J30" s="20" t="n">
        <x:f>IF(OR(D30="",H30=""),"",IF(H30=0,"無法計算",D30/H30-1))</x:f>
        <x:v>-0.060069653565162695</x:v>
      </x:c>
      <x:c r="K30" s="21" t="str">
        <x:v>已取得；公告日 115/10/14</x:v>
      </x:c>
      <x:c r="L30" s="22" t="str">
        <x:v>https://www.tpex.org.tw/openapi/v1/mopsfin_t187ap05_O</x:v>
      </x:c>
    </x:row>
    <x:row r="31">
      <x:c r="A31" s="18" t="str">
        <x:v>6207</x:v>
      </x:c>
      <x:c r="B31" s="18" t="str">
        <x:v>雷科</x:v>
      </x:c>
      <x:c r="C31" s="18" t="str">
        <x:v>上櫃</x:v>
      </x:c>
      <x:c r="D31" s="19" t="n">
        <x:v>114602</x:v>
      </x:c>
      <x:c r="E31" s="19" t="n">
        <x:v>137881</x:v>
      </x:c>
      <x:c r="F31" s="19" t="n">
        <x:f>IF(OR(D31="",E31=""),"",D31-E31)</x:f>
        <x:v>-23279</x:v>
      </x:c>
      <x:c r="G31" s="20" t="n">
        <x:f>IF(OR(D31="",E31=""),"",IF(E31=0,"無法計算",D31/E31-1))</x:f>
        <x:v>-0.16883399453151626</x:v>
      </x:c>
      <x:c r="H31" s="19" t="n">
        <x:v>84623</x:v>
      </x:c>
      <x:c r="I31" s="19" t="n">
        <x:f>IF(OR(D31="",H31=""),"",D31-H31)</x:f>
        <x:v>29979</x:v>
      </x:c>
      <x:c r="J31" s="20" t="n">
        <x:f>IF(OR(D31="",H31=""),"",IF(H31=0,"無法計算",D31/H31-1))</x:f>
        <x:v>0.3542653888422769</x:v>
      </x:c>
      <x:c r="K31" s="21" t="str">
        <x:v>已取得；公告日 115/10/14</x:v>
      </x:c>
      <x:c r="L31" s="22" t="str">
        <x:v>https://www.tpex.org.tw/openapi/v1/mopsfin_t187ap05_O</x:v>
      </x:c>
    </x:row>
    <x:row r="32">
      <x:c r="A32" s="18" t="str">
        <x:v>6224</x:v>
      </x:c>
      <x:c r="B32" s="18" t="str">
        <x:v>聚鼎</x:v>
      </x:c>
      <x:c r="C32" s="18" t="str">
        <x:v>上市</x:v>
      </x:c>
      <x:c r="D32" s="19" t="n">
        <x:v>278205</x:v>
      </x:c>
      <x:c r="E32" s="19" t="n">
        <x:v>319050</x:v>
      </x:c>
      <x:c r="F32" s="19" t="n">
        <x:f>IF(OR(D32="",E32=""),"",D32-E32)</x:f>
        <x:v>-40845</x:v>
      </x:c>
      <x:c r="G32" s="20" t="n">
        <x:f>IF(OR(D32="",E32=""),"",IF(E32=0,"無法計算",D32/E32-1))</x:f>
        <x:v>-0.12802068641278797</x:v>
      </x:c>
      <x:c r="H32" s="19" t="n">
        <x:v>239165</x:v>
      </x:c>
      <x:c r="I32" s="19" t="n">
        <x:f>IF(OR(D32="",H32=""),"",D32-H32)</x:f>
        <x:v>39040</x:v>
      </x:c>
      <x:c r="J32" s="20" t="n">
        <x:f>IF(OR(D32="",H32=""),"",IF(H32=0,"無法計算",D32/H32-1))</x:f>
        <x:v>0.16323458700060622</x:v>
      </x:c>
      <x:c r="K32" s="21" t="str">
        <x:v>已取得；公告日 115/10/13</x:v>
      </x:c>
      <x:c r="L32" s="22" t="str">
        <x:v>https://openapi.twse.com.tw/v1/opendata/t187ap05_L</x:v>
      </x:c>
    </x:row>
    <x:row r="33">
      <x:c r="A33" s="18" t="str">
        <x:v>6284</x:v>
      </x:c>
      <x:c r="B33" s="18" t="str">
        <x:v>佳邦</x:v>
      </x:c>
      <x:c r="C33" s="18" t="str">
        <x:v>上市</x:v>
      </x:c>
      <x:c r="D33" s="19" t="n">
        <x:v>712300</x:v>
      </x:c>
      <x:c r="E33" s="19" t="n">
        <x:v>653708</x:v>
      </x:c>
      <x:c r="F33" s="19" t="n">
        <x:f>IF(OR(D33="",E33=""),"",D33-E33)</x:f>
        <x:v>58592</x:v>
      </x:c>
      <x:c r="G33" s="20" t="n">
        <x:f>IF(OR(D33="",E33=""),"",IF(E33=0,"無法計算",D33/E33-1))</x:f>
        <x:v>0.08963023245852897</x:v>
      </x:c>
      <x:c r="H33" s="19" t="n">
        <x:v>684819</x:v>
      </x:c>
      <x:c r="I33" s="19" t="n">
        <x:f>IF(OR(D33="",H33=""),"",D33-H33)</x:f>
        <x:v>27481</x:v>
      </x:c>
      <x:c r="J33" s="20" t="n">
        <x:f>IF(OR(D33="",H33=""),"",IF(H33=0,"無法計算",D33/H33-1))</x:f>
        <x:v>0.04012885156515811</x:v>
      </x:c>
      <x:c r="K33" s="21" t="str">
        <x:v>已取得；公告日 115/10/14</x:v>
      </x:c>
      <x:c r="L33" s="22" t="str">
        <x:v>https://openapi.twse.com.tw/v1/opendata/t187ap05_L</x:v>
      </x:c>
    </x:row>
    <x:row r="34">
      <x:c r="A34" s="18" t="str">
        <x:v>6432</x:v>
      </x:c>
      <x:c r="B34" s="18" t="str">
        <x:v>今展科</x:v>
      </x:c>
      <x:c r="C34" s="18" t="str">
        <x:v>上櫃</x:v>
      </x:c>
      <x:c r="D34" s="19" t="n">
        <x:v>88147</x:v>
      </x:c>
      <x:c r="E34" s="19" t="n">
        <x:v>81931</x:v>
      </x:c>
      <x:c r="F34" s="19" t="n">
        <x:f>IF(OR(D34="",E34=""),"",D34-E34)</x:f>
        <x:v>6216</x:v>
      </x:c>
      <x:c r="G34" s="20" t="n">
        <x:f>IF(OR(D34="",E34=""),"",IF(E34=0,"無法計算",D34/E34-1))</x:f>
        <x:v>0.07586871879996582</x:v>
      </x:c>
      <x:c r="H34" s="19" t="n">
        <x:v>101226</x:v>
      </x:c>
      <x:c r="I34" s="19" t="n">
        <x:f>IF(OR(D34="",H34=""),"",D34-H34)</x:f>
        <x:v>-13079</x:v>
      </x:c>
      <x:c r="J34" s="20" t="n">
        <x:f>IF(OR(D34="",H34=""),"",IF(H34=0,"無法計算",D34/H34-1))</x:f>
        <x:v>-0.1292059352340308</x:v>
      </x:c>
      <x:c r="K34" s="21" t="str">
        <x:v>已取得；公告日 115/10/14</x:v>
      </x:c>
      <x:c r="L34" s="22" t="str">
        <x:v>https://www.tpex.org.tw/openapi/v1/mopsfin_t187ap05_O</x:v>
      </x:c>
    </x:row>
    <x:row r="35">
      <x:c r="A35" s="18" t="str">
        <x:v>6449</x:v>
      </x:c>
      <x:c r="B35" s="18" t="str">
        <x:v>鈺邦</x:v>
      </x:c>
      <x:c r="C35" s="18" t="str">
        <x:v>上市</x:v>
      </x:c>
      <x:c r="D35" s="19" t="n">
        <x:v>507848</x:v>
      </x:c>
      <x:c r="E35" s="19" t="n">
        <x:v>463542</x:v>
      </x:c>
      <x:c r="F35" s="19" t="n">
        <x:f>IF(OR(D35="",E35=""),"",D35-E35)</x:f>
        <x:v>44306</x:v>
      </x:c>
      <x:c r="G35" s="20" t="n">
        <x:f>IF(OR(D35="",E35=""),"",IF(E35=0,"無法計算",D35/E35-1))</x:f>
        <x:v>0.09558141441336487</x:v>
      </x:c>
      <x:c r="H35" s="19" t="n">
        <x:v>404485</x:v>
      </x:c>
      <x:c r="I35" s="19" t="n">
        <x:f>IF(OR(D35="",H35=""),"",D35-H35)</x:f>
        <x:v>103363</x:v>
      </x:c>
      <x:c r="J35" s="20" t="n">
        <x:f>IF(OR(D35="",H35=""),"",IF(H35=0,"無法計算",D35/H35-1))</x:f>
        <x:v>0.25554223271567555</x:v>
      </x:c>
      <x:c r="K35" s="21" t="str">
        <x:v>已取得；公告日 115/10/13</x:v>
      </x:c>
      <x:c r="L35" s="22" t="str">
        <x:v>https://openapi.twse.com.tw/v1/opendata/t187ap05_L</x:v>
      </x:c>
    </x:row>
    <x:row r="36">
      <x:c r="A36" s="18" t="str">
        <x:v>6821</x:v>
      </x:c>
      <x:c r="B36" s="18" t="str">
        <x:v>聯寶</x:v>
      </x:c>
      <x:c r="C36" s="18" t="str">
        <x:v>上櫃</x:v>
      </x:c>
      <x:c r="D36" s="19" t="n">
        <x:v>44182</x:v>
      </x:c>
      <x:c r="E36" s="19" t="n">
        <x:v>33337</x:v>
      </x:c>
      <x:c r="F36" s="19" t="n">
        <x:f>IF(OR(D36="",E36=""),"",D36-E36)</x:f>
        <x:v>10845</x:v>
      </x:c>
      <x:c r="G36" s="20" t="n">
        <x:f>IF(OR(D36="",E36=""),"",IF(E36=0,"無法計算",D36/E36-1))</x:f>
        <x:v>0.325314215436302</x:v>
      </x:c>
      <x:c r="H36" s="19" t="n">
        <x:v>49221</x:v>
      </x:c>
      <x:c r="I36" s="19" t="n">
        <x:f>IF(OR(D36="",H36=""),"",D36-H36)</x:f>
        <x:v>-5039</x:v>
      </x:c>
      <x:c r="J36" s="20" t="n">
        <x:f>IF(OR(D36="",H36=""),"",IF(H36=0,"無法計算",D36/H36-1))</x:f>
        <x:v>-0.10237500253956644</x:v>
      </x:c>
      <x:c r="K36" s="21" t="str">
        <x:v>已取得；公告日 115/10/14</x:v>
      </x:c>
      <x:c r="L36" s="22" t="str">
        <x:v>https://www.tpex.org.tw/openapi/v1/mopsfin_t187ap05_O</x:v>
      </x:c>
    </x:row>
    <x:row r="37">
      <x:c r="A37" s="18" t="str">
        <x:v>8042</x:v>
      </x:c>
      <x:c r="B37" s="18" t="str">
        <x:v>金山電</x:v>
      </x:c>
      <x:c r="C37" s="18" t="str">
        <x:v>上櫃</x:v>
      </x:c>
      <x:c r="D37" s="19" t="n">
        <x:v>435431</x:v>
      </x:c>
      <x:c r="E37" s="19" t="n">
        <x:v>482033</x:v>
      </x:c>
      <x:c r="F37" s="19" t="n">
        <x:f>IF(OR(D37="",E37=""),"",D37-E37)</x:f>
        <x:v>-46602</x:v>
      </x:c>
      <x:c r="G37" s="20" t="n">
        <x:f>IF(OR(D37="",E37=""),"",IF(E37=0,"無法計算",D37/E37-1))</x:f>
        <x:v>-0.09667802826777416</x:v>
      </x:c>
      <x:c r="H37" s="19" t="n">
        <x:v>346402</x:v>
      </x:c>
      <x:c r="I37" s="19" t="n">
        <x:f>IF(OR(D37="",H37=""),"",D37-H37)</x:f>
        <x:v>89029</x:v>
      </x:c>
      <x:c r="J37" s="20" t="n">
        <x:f>IF(OR(D37="",H37=""),"",IF(H37=0,"無法計算",D37/H37-1))</x:f>
        <x:v>0.25701064081616165</x:v>
      </x:c>
      <x:c r="K37" s="21" t="str">
        <x:v>已取得；公告日 115/10/14</x:v>
      </x:c>
      <x:c r="L37" s="22" t="str">
        <x:v>https://www.tpex.org.tw/openapi/v1/mopsfin_t187ap05_O</x:v>
      </x:c>
    </x:row>
    <x:row r="38">
      <x:c r="A38" s="18" t="str">
        <x:v>8043</x:v>
      </x:c>
      <x:c r="B38" s="18" t="str">
        <x:v>蜜望實</x:v>
      </x:c>
      <x:c r="C38" s="18" t="str">
        <x:v>上櫃</x:v>
      </x:c>
      <x:c r="D38" s="19" t="n">
        <x:v>527273</x:v>
      </x:c>
      <x:c r="E38" s="19" t="n">
        <x:v>621856</x:v>
      </x:c>
      <x:c r="F38" s="19" t="n">
        <x:f>IF(OR(D38="",E38=""),"",D38-E38)</x:f>
        <x:v>-94583</x:v>
      </x:c>
      <x:c r="G38" s="20" t="n">
        <x:f>IF(OR(D38="",E38=""),"",IF(E38=0,"無法計算",D38/E38-1))</x:f>
        <x:v>-0.15209791334328204</x:v>
      </x:c>
      <x:c r="H38" s="19" t="n">
        <x:v>468019</x:v>
      </x:c>
      <x:c r="I38" s="19" t="n">
        <x:f>IF(OR(D38="",H38=""),"",D38-H38)</x:f>
        <x:v>59254</x:v>
      </x:c>
      <x:c r="J38" s="20" t="n">
        <x:f>IF(OR(D38="",H38=""),"",IF(H38=0,"無法計算",D38/H38-1))</x:f>
        <x:v>0.12660597112510397</x:v>
      </x:c>
      <x:c r="K38" s="21" t="str">
        <x:v>已取得；公告日 115/10/14</x:v>
      </x:c>
      <x:c r="L38" s="22" t="str">
        <x:v>https://www.tpex.org.tw/openapi/v1/mopsfin_t187ap05_O</x:v>
      </x:c>
    </x:row>
    <x:row r="39">
      <x:c r="A39" s="18" t="str">
        <x:v>8071</x:v>
      </x:c>
      <x:c r="B39" s="18" t="str">
        <x:v>能率網通</x:v>
      </x:c>
      <x:c r="C39" s="18" t="str">
        <x:v>上櫃</x:v>
      </x:c>
      <x:c r="D39" s="19" t="n">
        <x:v>206061</x:v>
      </x:c>
      <x:c r="E39" s="19" t="n">
        <x:v>207763</x:v>
      </x:c>
      <x:c r="F39" s="19" t="n">
        <x:f>IF(OR(D39="",E39=""),"",D39-E39)</x:f>
        <x:v>-1702</x:v>
      </x:c>
      <x:c r="G39" s="20" t="n">
        <x:f>IF(OR(D39="",E39=""),"",IF(E39=0,"無法計算",D39/E39-1))</x:f>
        <x:v>-0.008192026491723792</x:v>
      </x:c>
      <x:c r="H39" s="19" t="n">
        <x:v>174198</x:v>
      </x:c>
      <x:c r="I39" s="19" t="n">
        <x:f>IF(OR(D39="",H39=""),"",D39-H39)</x:f>
        <x:v>31863</x:v>
      </x:c>
      <x:c r="J39" s="20" t="n">
        <x:f>IF(OR(D39="",H39=""),"",IF(H39=0,"無法計算",D39/H39-1))</x:f>
        <x:v>0.1829125477904454</x:v>
      </x:c>
      <x:c r="K39" s="21" t="str">
        <x:v>已取得；公告日 115/10/14</x:v>
      </x:c>
      <x:c r="L39" s="22" t="str">
        <x:v>https://www.tpex.org.tw/openapi/v1/mopsfin_t187ap05_O</x:v>
      </x:c>
    </x:row>
    <x:row r="40">
      <x:c r="A40" s="18" t="str">
        <x:v>8121</x:v>
      </x:c>
      <x:c r="B40" s="18" t="str">
        <x:v>越峰</x:v>
      </x:c>
      <x:c r="C40" s="18" t="str">
        <x:v>上櫃</x:v>
      </x:c>
      <x:c r="D40" s="19" t="n">
        <x:v>301003</x:v>
      </x:c>
      <x:c r="E40" s="19" t="n">
        <x:v>305960</x:v>
      </x:c>
      <x:c r="F40" s="19" t="n">
        <x:f>IF(OR(D40="",E40=""),"",D40-E40)</x:f>
        <x:v>-4957</x:v>
      </x:c>
      <x:c r="G40" s="20" t="n">
        <x:f>IF(OR(D40="",E40=""),"",IF(E40=0,"無法計算",D40/E40-1))</x:f>
        <x:v>-0.016201464243691954</x:v>
      </x:c>
      <x:c r="H40" s="19" t="n">
        <x:v>294232</x:v>
      </x:c>
      <x:c r="I40" s="19" t="n">
        <x:f>IF(OR(D40="",H40=""),"",D40-H40)</x:f>
        <x:v>6771</x:v>
      </x:c>
      <x:c r="J40" s="20" t="n">
        <x:f>IF(OR(D40="",H40=""),"",IF(H40=0,"無法計算",D40/H40-1))</x:f>
        <x:v>0.023012452758367496</x:v>
      </x:c>
      <x:c r="K40" s="21" t="str">
        <x:v>已取得；公告日 115/10/14</x:v>
      </x:c>
      <x:c r="L40" s="22" t="str">
        <x:v>https://www.tpex.org.tw/openapi/v1/mopsfin_t187ap05_O</x:v>
      </x:c>
    </x:row>
    <x:row r="41">
      <x:c r="A41" s="18" t="str">
        <x:v>8182</x:v>
      </x:c>
      <x:c r="B41" s="18" t="str">
        <x:v>加高</x:v>
      </x:c>
      <x:c r="C41" s="18" t="str">
        <x:v>上櫃</x:v>
      </x:c>
      <x:c r="D41" s="19" t="n">
        <x:v>246913</x:v>
      </x:c>
      <x:c r="E41" s="19" t="n">
        <x:v>262918</x:v>
      </x:c>
      <x:c r="F41" s="19" t="n">
        <x:f>IF(OR(D41="",E41=""),"",D41-E41)</x:f>
        <x:v>-16005</x:v>
      </x:c>
      <x:c r="G41" s="20" t="n">
        <x:f>IF(OR(D41="",E41=""),"",IF(E41=0,"無法計算",D41/E41-1))</x:f>
        <x:v>-0.06087449318799021</x:v>
      </x:c>
      <x:c r="H41" s="19" t="n">
        <x:v>270088</x:v>
      </x:c>
      <x:c r="I41" s="19" t="n">
        <x:f>IF(OR(D41="",H41=""),"",D41-H41)</x:f>
        <x:v>-23175</x:v>
      </x:c>
      <x:c r="J41" s="20" t="n">
        <x:f>IF(OR(D41="",H41=""),"",IF(H41=0,"無法計算",D41/H41-1))</x:f>
        <x:v>-0.08580536713959896</x:v>
      </x:c>
      <x:c r="K41" s="21" t="str">
        <x:v>已取得；公告日 115/10/14</x:v>
      </x:c>
      <x:c r="L41" s="22" t="str">
        <x:v>https://www.tpex.org.tw/openapi/v1/mopsfin_t187ap05_O</x:v>
      </x:c>
    </x:row>
    <x:row r="42">
      <x:c r="A42" s="23" t="str">
        <x:v>8289</x:v>
      </x:c>
      <x:c r="B42" s="23" t="str">
        <x:v>泰藝</x:v>
      </x:c>
      <x:c r="C42" s="23" t="str">
        <x:v>上櫃</x:v>
      </x:c>
      <x:c r="D42" s="24" t="n">
        <x:v>205343</x:v>
      </x:c>
      <x:c r="E42" s="24" t="n">
        <x:v>214038</x:v>
      </x:c>
      <x:c r="F42" s="24" t="n">
        <x:f>IF(OR(D42="",E42=""),"",D42-E42)</x:f>
        <x:v>-8695</x:v>
      </x:c>
      <x:c r="G42" s="25" t="n">
        <x:f>IF(OR(D42="",E42=""),"",IF(E42=0,"無法計算",D42/E42-1))</x:f>
        <x:v>-0.04062362758014937</x:v>
      </x:c>
      <x:c r="H42" s="24" t="n">
        <x:v>135640</x:v>
      </x:c>
      <x:c r="I42" s="24" t="n">
        <x:f>IF(OR(D42="",H42=""),"",D42-H42)</x:f>
        <x:v>69703</x:v>
      </x:c>
      <x:c r="J42" s="25" t="n">
        <x:f>IF(OR(D42="",H42=""),"",IF(H42=0,"無法計算",D42/H42-1))</x:f>
        <x:v>0.5138823355942199</x:v>
      </x:c>
      <x:c r="K42" s="26" t="str">
        <x:v>已取得；公告日 115/10/14</x:v>
      </x:c>
      <x:c r="L42" s="27" t="str">
        <x:v>https://www.tpex.org.tw/openapi/v1/mopsfin_t187ap05_O</x:v>
      </x:c>
    </x:row>
  </x:sheetData>
  <x:pageMargins left="0.7" right="0.7" top="0.75" bottom="0.75" header="0.3" footer="0.3"/>
  <x:tableParts count="1">
    <x:tablePart xmlns:r="http://schemas.openxmlformats.org/officeDocument/2006/relationships" r:id="R2e18ce7e351046e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40"/>
      <x:c r="B1" s="40"/>
    </x:row>
    <x:row r="2">
      <x:c r="A2" s="1" t="str">
        <x:v>同業營收排名｜2026年9月</x:v>
      </x:c>
    </x:row>
    <x:row r="3">
      <x:c r="A3" s="2" t="str">
        <x:v>排名依查詢時點的官方公告資料計算；未取得資料者不排名。</x:v>
      </x:c>
    </x:row>
    <x:row r="5">
      <x:c r="A5" s="39" t="str">
        <x:v>月增率最高前10名</x:v>
      </x:c>
      <x:c r="B5" s="39"/>
      <x:c r="C5" s="39"/>
      <x:c r="D5" s="39"/>
      <x:c r="E5" s="39"/>
      <x:c r="F5" s="39"/>
      <x:c r="G5" s="39"/>
    </x:row>
    <x:row r="6">
      <x:c r="A6" s="7" t="str">
        <x:v>名次</x:v>
      </x:c>
      <x:c r="B6" s="7" t="str">
        <x:v>代號</x:v>
      </x:c>
      <x:c r="C6" s="7" t="str">
        <x:v>公司</x:v>
      </x:c>
      <x:c r="D6" s="7" t="str">
        <x:v>2026/08</x:v>
      </x:c>
      <x:c r="E6" s="7" t="str">
        <x:v>2026/09</x:v>
      </x:c>
      <x:c r="F6" s="7" t="str">
        <x:v>月增減</x:v>
      </x:c>
      <x:c r="G6" s="7" t="str">
        <x:v>月增率</x:v>
      </x:c>
    </x:row>
    <x:row r="7">
      <x:c r="A7" t="n">
        <x:v>1</x:v>
      </x:c>
      <x:c r="B7" t="str">
        <x:v>6821</x:v>
      </x:c>
      <x:c r="C7" t="str">
        <x:v>聯寶</x:v>
      </x:c>
      <x:c r="D7" s="8" t="n">
        <x:v>33337</x:v>
      </x:c>
      <x:c r="E7" s="8" t="n">
        <x:v>44182</x:v>
      </x:c>
      <x:c r="F7" s="8" t="n">
        <x:v>10845</x:v>
      </x:c>
      <x:c r="G7" s="9" t="n">
        <x:v>0.325314215436302</x:v>
      </x:c>
    </x:row>
    <x:row r="8">
      <x:c r="A8" t="n">
        <x:v>2</x:v>
      </x:c>
      <x:c r="B8" t="str">
        <x:v>5228</x:v>
      </x:c>
      <x:c r="C8" t="str">
        <x:v>鈺鎧</x:v>
      </x:c>
      <x:c r="D8" s="8" t="n">
        <x:v>71765</x:v>
      </x:c>
      <x:c r="E8" s="8" t="n">
        <x:v>90739</x:v>
      </x:c>
      <x:c r="F8" s="8" t="n">
        <x:v>18974</x:v>
      </x:c>
      <x:c r="G8" s="9" t="n">
        <x:v>0.26439071971016515</x:v>
      </x:c>
    </x:row>
    <x:row r="9">
      <x:c r="A9" t="n">
        <x:v>3</x:v>
      </x:c>
      <x:c r="B9" t="str">
        <x:v>3663</x:v>
      </x:c>
      <x:c r="C9" t="str">
        <x:v>鑫科</x:v>
      </x:c>
      <x:c r="D9" s="8" t="n">
        <x:v>497170</x:v>
      </x:c>
      <x:c r="E9" s="8" t="n">
        <x:v>583699</x:v>
      </x:c>
      <x:c r="F9" s="8" t="n">
        <x:v>86529</x:v>
      </x:c>
      <x:c r="G9" s="9" t="n">
        <x:v>0.17404308385461714</x:v>
      </x:c>
    </x:row>
    <x:row r="10">
      <x:c r="A10" t="n">
        <x:v>4</x:v>
      </x:c>
      <x:c r="B10" t="str">
        <x:v>3026</x:v>
      </x:c>
      <x:c r="C10" t="str">
        <x:v>禾伸堂</x:v>
      </x:c>
      <x:c r="D10" s="8" t="n">
        <x:v>1439761</x:v>
      </x:c>
      <x:c r="E10" s="8" t="n">
        <x:v>1597836</x:v>
      </x:c>
      <x:c r="F10" s="8" t="n">
        <x:v>158075</x:v>
      </x:c>
      <x:c r="G10" s="9" t="n">
        <x:v>0.10979252806542197</x:v>
      </x:c>
    </x:row>
    <x:row r="11">
      <x:c r="A11" t="n">
        <x:v>5</x:v>
      </x:c>
      <x:c r="B11" t="str">
        <x:v>6155</x:v>
      </x:c>
      <x:c r="C11" t="str">
        <x:v>鈞寶</x:v>
      </x:c>
      <x:c r="D11" s="8" t="n">
        <x:v>75032</x:v>
      </x:c>
      <x:c r="E11" s="8" t="n">
        <x:v>82761</x:v>
      </x:c>
      <x:c r="F11" s="8" t="n">
        <x:v>7729</x:v>
      </x:c>
      <x:c r="G11" s="9" t="n">
        <x:v>0.10300938266339695</x:v>
      </x:c>
    </x:row>
    <x:row r="12">
      <x:c r="A12" t="n">
        <x:v>6</x:v>
      </x:c>
      <x:c r="B12" t="str">
        <x:v>6449</x:v>
      </x:c>
      <x:c r="C12" t="str">
        <x:v>鈺邦</x:v>
      </x:c>
      <x:c r="D12" s="8" t="n">
        <x:v>463542</x:v>
      </x:c>
      <x:c r="E12" s="8" t="n">
        <x:v>507848</x:v>
      </x:c>
      <x:c r="F12" s="8" t="n">
        <x:v>44306</x:v>
      </x:c>
      <x:c r="G12" s="9" t="n">
        <x:v>0.09558141441336492</x:v>
      </x:c>
    </x:row>
    <x:row r="13">
      <x:c r="A13" t="n">
        <x:v>7</x:v>
      </x:c>
      <x:c r="B13" t="str">
        <x:v>2484</x:v>
      </x:c>
      <x:c r="C13" t="str">
        <x:v>希華</x:v>
      </x:c>
      <x:c r="D13" s="8" t="n">
        <x:v>227535</x:v>
      </x:c>
      <x:c r="E13" s="8" t="n">
        <x:v>248147</x:v>
      </x:c>
      <x:c r="F13" s="8" t="n">
        <x:v>20612</x:v>
      </x:c>
      <x:c r="G13" s="9" t="n">
        <x:v>0.09058826114663678</x:v>
      </x:c>
    </x:row>
    <x:row r="14">
      <x:c r="A14" t="n">
        <x:v>8</x:v>
      </x:c>
      <x:c r="B14" t="str">
        <x:v>6284</x:v>
      </x:c>
      <x:c r="C14" t="str">
        <x:v>佳邦</x:v>
      </x:c>
      <x:c r="D14" s="8" t="n">
        <x:v>653708</x:v>
      </x:c>
      <x:c r="E14" s="8" t="n">
        <x:v>712300</x:v>
      </x:c>
      <x:c r="F14" s="8" t="n">
        <x:v>58592</x:v>
      </x:c>
      <x:c r="G14" s="9" t="n">
        <x:v>0.08963023245852889</x:v>
      </x:c>
    </x:row>
    <x:row r="15">
      <x:c r="A15" t="n">
        <x:v>9</x:v>
      </x:c>
      <x:c r="B15" t="str">
        <x:v>6156</x:v>
      </x:c>
      <x:c r="C15" t="str">
        <x:v>松上</x:v>
      </x:c>
      <x:c r="D15" s="8" t="n">
        <x:v>576555</x:v>
      </x:c>
      <x:c r="E15" s="8" t="n">
        <x:v>623348</x:v>
      </x:c>
      <x:c r="F15" s="8" t="n">
        <x:v>46793</x:v>
      </x:c>
      <x:c r="G15" s="9" t="n">
        <x:v>0.08115964652114716</x:v>
      </x:c>
    </x:row>
    <x:row r="16">
      <x:c r="A16" t="n">
        <x:v>10</x:v>
      </x:c>
      <x:c r="B16" t="str">
        <x:v>6432</x:v>
      </x:c>
      <x:c r="C16" t="str">
        <x:v>今展科</x:v>
      </x:c>
      <x:c r="D16" s="8" t="n">
        <x:v>81931</x:v>
      </x:c>
      <x:c r="E16" s="8" t="n">
        <x:v>88147</x:v>
      </x:c>
      <x:c r="F16" s="8" t="n">
        <x:v>6216</x:v>
      </x:c>
      <x:c r="G16" s="9" t="n">
        <x:v>0.07586871879996583</x:v>
      </x:c>
    </x:row>
    <x:row r="19">
      <x:c r="A19" s="39" t="str">
        <x:v>月增率最低前10名</x:v>
      </x:c>
      <x:c r="B19" s="39"/>
      <x:c r="C19" s="39"/>
      <x:c r="D19" s="39"/>
      <x:c r="E19" s="39"/>
      <x:c r="F19" s="39"/>
      <x:c r="G19" s="39"/>
    </x:row>
    <x:row r="20">
      <x:c r="A20" s="7" t="str">
        <x:v>名次</x:v>
      </x:c>
      <x:c r="B20" s="7" t="str">
        <x:v>代號</x:v>
      </x:c>
      <x:c r="C20" s="7" t="str">
        <x:v>公司</x:v>
      </x:c>
      <x:c r="D20" s="7" t="str">
        <x:v>2026/08</x:v>
      </x:c>
      <x:c r="E20" s="7" t="str">
        <x:v>2026/09</x:v>
      </x:c>
      <x:c r="F20" s="7" t="str">
        <x:v>月增減</x:v>
      </x:c>
      <x:c r="G20" s="7" t="str">
        <x:v>月增率</x:v>
      </x:c>
    </x:row>
    <x:row r="21">
      <x:c r="A21" t="n">
        <x:v>1</x:v>
      </x:c>
      <x:c r="B21" t="str">
        <x:v>6207</x:v>
      </x:c>
      <x:c r="C21" t="str">
        <x:v>雷科</x:v>
      </x:c>
      <x:c r="D21" s="8" t="n">
        <x:v>137881</x:v>
      </x:c>
      <x:c r="E21" s="8" t="n">
        <x:v>114602</x:v>
      </x:c>
      <x:c r="F21" s="8" t="n">
        <x:v>-23279</x:v>
      </x:c>
      <x:c r="G21" s="9" t="n">
        <x:v>-0.16883399453151632</x:v>
      </x:c>
    </x:row>
    <x:row r="22">
      <x:c r="A22" t="n">
        <x:v>2</x:v>
      </x:c>
      <x:c r="B22" t="str">
        <x:v>8043</x:v>
      </x:c>
      <x:c r="C22" t="str">
        <x:v>蜜望實</x:v>
      </x:c>
      <x:c r="D22" s="8" t="n">
        <x:v>621856</x:v>
      </x:c>
      <x:c r="E22" s="8" t="n">
        <x:v>527273</x:v>
      </x:c>
      <x:c r="F22" s="8" t="n">
        <x:v>-94583</x:v>
      </x:c>
      <x:c r="G22" s="9" t="n">
        <x:v>-0.15209791334328204</x:v>
      </x:c>
    </x:row>
    <x:row r="23">
      <x:c r="A23" t="n">
        <x:v>3</x:v>
      </x:c>
      <x:c r="B23" t="str">
        <x:v>6224</x:v>
      </x:c>
      <x:c r="C23" t="str">
        <x:v>聚鼎</x:v>
      </x:c>
      <x:c r="D23" s="8" t="n">
        <x:v>319050</x:v>
      </x:c>
      <x:c r="E23" s="8" t="n">
        <x:v>278205</x:v>
      </x:c>
      <x:c r="F23" s="8" t="n">
        <x:v>-40845</x:v>
      </x:c>
      <x:c r="G23" s="9" t="n">
        <x:v>-0.12802068641278797</x:v>
      </x:c>
    </x:row>
    <x:row r="24">
      <x:c r="A24" t="n">
        <x:v>4</x:v>
      </x:c>
      <x:c r="B24" t="str">
        <x:v>5328</x:v>
      </x:c>
      <x:c r="C24" t="str">
        <x:v>華容</x:v>
      </x:c>
      <x:c r="D24" s="8" t="n">
        <x:v>99782</x:v>
      </x:c>
      <x:c r="E24" s="8" t="n">
        <x:v>87592</x:v>
      </x:c>
      <x:c r="F24" s="8" t="n">
        <x:v>-12190</x:v>
      </x:c>
      <x:c r="G24" s="9" t="n">
        <x:v>-0.12216632258323144</x:v>
      </x:c>
    </x:row>
    <x:row r="25">
      <x:c r="A25" t="n">
        <x:v>5</x:v>
      </x:c>
      <x:c r="B25" t="str">
        <x:v>6127</x:v>
      </x:c>
      <x:c r="C25" t="str">
        <x:v>九豪</x:v>
      </x:c>
      <x:c r="D25" s="8" t="n">
        <x:v>107429</x:v>
      </x:c>
      <x:c r="E25" s="8" t="n">
        <x:v>96070</x:v>
      </x:c>
      <x:c r="F25" s="8" t="n">
        <x:v>-11359</x:v>
      </x:c>
      <x:c r="G25" s="9" t="n">
        <x:v>-0.10573495052546333</x:v>
      </x:c>
    </x:row>
    <x:row r="26">
      <x:c r="A26" t="n">
        <x:v>6</x:v>
      </x:c>
      <x:c r="B26" t="str">
        <x:v>8042</x:v>
      </x:c>
      <x:c r="C26" t="str">
        <x:v>金山電</x:v>
      </x:c>
      <x:c r="D26" s="8" t="n">
        <x:v>482033</x:v>
      </x:c>
      <x:c r="E26" s="8" t="n">
        <x:v>435431</x:v>
      </x:c>
      <x:c r="F26" s="8" t="n">
        <x:v>-46602</x:v>
      </x:c>
      <x:c r="G26" s="9" t="n">
        <x:v>-0.0966780282677742</x:v>
      </x:c>
    </x:row>
    <x:row r="27">
      <x:c r="A27" t="n">
        <x:v>7</x:v>
      </x:c>
      <x:c r="B27" t="str">
        <x:v>2478</x:v>
      </x:c>
      <x:c r="C27" t="str">
        <x:v>大毅</x:v>
      </x:c>
      <x:c r="D27" s="8" t="n">
        <x:v>636565</x:v>
      </x:c>
      <x:c r="E27" s="8" t="n">
        <x:v>590531</x:v>
      </x:c>
      <x:c r="F27" s="8" t="n">
        <x:v>-46034</x:v>
      </x:c>
      <x:c r="G27" s="9" t="n">
        <x:v>-0.07231625992632332</x:v>
      </x:c>
    </x:row>
    <x:row r="28">
      <x:c r="A28" t="n">
        <x:v>8</x:v>
      </x:c>
      <x:c r="B28" t="str">
        <x:v>8182</x:v>
      </x:c>
      <x:c r="C28" t="str">
        <x:v>加高</x:v>
      </x:c>
      <x:c r="D28" s="8" t="n">
        <x:v>262918</x:v>
      </x:c>
      <x:c r="E28" s="8" t="n">
        <x:v>246913</x:v>
      </x:c>
      <x:c r="F28" s="8" t="n">
        <x:v>-16005</x:v>
      </x:c>
      <x:c r="G28" s="9" t="n">
        <x:v>-0.060874493187990174</x:v>
      </x:c>
    </x:row>
    <x:row r="29">
      <x:c r="A29" t="n">
        <x:v>9</x:v>
      </x:c>
      <x:c r="B29" t="str">
        <x:v>6173</x:v>
      </x:c>
      <x:c r="C29" t="str">
        <x:v>信昌電</x:v>
      </x:c>
      <x:c r="D29" s="8" t="n">
        <x:v>551669</x:v>
      </x:c>
      <x:c r="E29" s="8" t="n">
        <x:v>526646</x:v>
      </x:c>
      <x:c r="F29" s="8" t="n">
        <x:v>-25023</x:v>
      </x:c>
      <x:c r="G29" s="9" t="n">
        <x:v>-0.04535872053713368</x:v>
      </x:c>
    </x:row>
    <x:row r="30">
      <x:c r="A30" t="n">
        <x:v>10</x:v>
      </x:c>
      <x:c r="B30" t="str">
        <x:v>8289</x:v>
      </x:c>
      <x:c r="C30" t="str">
        <x:v>泰藝</x:v>
      </x:c>
      <x:c r="D30" s="8" t="n">
        <x:v>214038</x:v>
      </x:c>
      <x:c r="E30" s="8" t="n">
        <x:v>205343</x:v>
      </x:c>
      <x:c r="F30" s="8" t="n">
        <x:v>-8695</x:v>
      </x:c>
      <x:c r="G30" s="9" t="n">
        <x:v>-0.04062362758014932</x:v>
      </x:c>
    </x:row>
    <x:row r="33">
      <x:c r="A33" s="39" t="str">
        <x:v>年增率最高前10名</x:v>
      </x:c>
      <x:c r="B33" s="39"/>
      <x:c r="C33" s="39"/>
      <x:c r="D33" s="39"/>
      <x:c r="E33" s="39"/>
      <x:c r="F33" s="39"/>
      <x:c r="G33" s="39"/>
    </x:row>
    <x:row r="34">
      <x:c r="A34" s="7" t="str">
        <x:v>名次</x:v>
      </x:c>
      <x:c r="B34" s="7" t="str">
        <x:v>代號</x:v>
      </x:c>
      <x:c r="C34" s="7" t="str">
        <x:v>公司</x:v>
      </x:c>
      <x:c r="D34" s="7" t="str">
        <x:v>2025/09</x:v>
      </x:c>
      <x:c r="E34" s="7" t="str">
        <x:v>2026/09</x:v>
      </x:c>
      <x:c r="F34" s="7" t="str">
        <x:v>年增減</x:v>
      </x:c>
      <x:c r="G34" s="7" t="str">
        <x:v>年增率</x:v>
      </x:c>
    </x:row>
    <x:row r="35">
      <x:c r="A35" t="n">
        <x:v>1</x:v>
      </x:c>
      <x:c r="B35" t="str">
        <x:v>5228</x:v>
      </x:c>
      <x:c r="C35" t="str">
        <x:v>鈺鎧</x:v>
      </x:c>
      <x:c r="D35" s="8" t="n">
        <x:v>43249</x:v>
      </x:c>
      <x:c r="E35" s="8" t="n">
        <x:v>90739</x:v>
      </x:c>
      <x:c r="F35" s="8" t="n">
        <x:v>47490</x:v>
      </x:c>
      <x:c r="G35" s="9" t="n">
        <x:v>1.098060070753081</x:v>
      </x:c>
    </x:row>
    <x:row r="36">
      <x:c r="A36" t="n">
        <x:v>2</x:v>
      </x:c>
      <x:c r="B36" t="str">
        <x:v>6156</x:v>
      </x:c>
      <x:c r="C36" t="str">
        <x:v>松上</x:v>
      </x:c>
      <x:c r="D36" s="8" t="n">
        <x:v>338217</x:v>
      </x:c>
      <x:c r="E36" s="8" t="n">
        <x:v>623348</x:v>
      </x:c>
      <x:c r="F36" s="8" t="n">
        <x:v>285131</x:v>
      </x:c>
      <x:c r="G36" s="9" t="n">
        <x:v>0.8430415975542329</x:v>
      </x:c>
    </x:row>
    <x:row r="37">
      <x:c r="A37" t="n">
        <x:v>3</x:v>
      </x:c>
      <x:c r="B37" t="str">
        <x:v>4760</x:v>
      </x:c>
      <x:c r="C37" t="str">
        <x:v>勤凱科技</x:v>
      </x:c>
      <x:c r="D37" s="8" t="n">
        <x:v>172303</x:v>
      </x:c>
      <x:c r="E37" s="8" t="n">
        <x:v>303814</x:v>
      </x:c>
      <x:c r="F37" s="8" t="n">
        <x:v>131511</x:v>
      </x:c>
      <x:c r="G37" s="9" t="n">
        <x:v>0.7632542671920977</x:v>
      </x:c>
    </x:row>
    <x:row r="38">
      <x:c r="A38" t="n">
        <x:v>4</x:v>
      </x:c>
      <x:c r="B38" t="str">
        <x:v>3624</x:v>
      </x:c>
      <x:c r="C38" t="str">
        <x:v>光頡</x:v>
      </x:c>
      <x:c r="D38" s="8" t="n">
        <x:v>227096</x:v>
      </x:c>
      <x:c r="E38" s="8" t="n">
        <x:v>380218</x:v>
      </x:c>
      <x:c r="F38" s="8" t="n">
        <x:v>153122</x:v>
      </x:c>
      <x:c r="G38" s="9" t="n">
        <x:v>0.6742611054355867</x:v>
      </x:c>
    </x:row>
    <x:row r="39">
      <x:c r="A39" t="n">
        <x:v>5</x:v>
      </x:c>
      <x:c r="B39" t="str">
        <x:v>3663</x:v>
      </x:c>
      <x:c r="C39" t="str">
        <x:v>鑫科</x:v>
      </x:c>
      <x:c r="D39" s="8" t="n">
        <x:v>373011</x:v>
      </x:c>
      <x:c r="E39" s="8" t="n">
        <x:v>583699</x:v>
      </x:c>
      <x:c r="F39" s="8" t="n">
        <x:v>210688</x:v>
      </x:c>
      <x:c r="G39" s="9" t="n">
        <x:v>0.5648305277860438</x:v>
      </x:c>
    </x:row>
    <x:row r="40">
      <x:c r="A40" t="n">
        <x:v>6</x:v>
      </x:c>
      <x:c r="B40" t="str">
        <x:v>6173</x:v>
      </x:c>
      <x:c r="C40" t="str">
        <x:v>信昌電</x:v>
      </x:c>
      <x:c r="D40" s="8" t="n">
        <x:v>340292</x:v>
      </x:c>
      <x:c r="E40" s="8" t="n">
        <x:v>526646</x:v>
      </x:c>
      <x:c r="F40" s="8" t="n">
        <x:v>186354</x:v>
      </x:c>
      <x:c r="G40" s="9" t="n">
        <x:v>0.547629682743056</x:v>
      </x:c>
    </x:row>
    <x:row r="41">
      <x:c r="A41" t="n">
        <x:v>7</x:v>
      </x:c>
      <x:c r="B41" t="str">
        <x:v>6127</x:v>
      </x:c>
      <x:c r="C41" t="str">
        <x:v>九豪</x:v>
      </x:c>
      <x:c r="D41" s="8" t="n">
        <x:v>62214</x:v>
      </x:c>
      <x:c r="E41" s="8" t="n">
        <x:v>96070</x:v>
      </x:c>
      <x:c r="F41" s="8" t="n">
        <x:v>33856</x:v>
      </x:c>
      <x:c r="G41" s="9" t="n">
        <x:v>0.5441861960330472</x:v>
      </x:c>
    </x:row>
    <x:row r="42">
      <x:c r="A42" t="n">
        <x:v>8</x:v>
      </x:c>
      <x:c r="B42" t="str">
        <x:v>2492</x:v>
      </x:c>
      <x:c r="C42" t="str">
        <x:v>華新科</x:v>
      </x:c>
      <x:c r="D42" s="8" t="n">
        <x:v>3176158</x:v>
      </x:c>
      <x:c r="E42" s="8" t="n">
        <x:v>4889022</x:v>
      </x:c>
      <x:c r="F42" s="8" t="n">
        <x:v>1712864</x:v>
      </x:c>
      <x:c r="G42" s="9" t="n">
        <x:v>0.5392880329001265</x:v>
      </x:c>
    </x:row>
    <x:row r="43">
      <x:c r="A43" t="n">
        <x:v>9</x:v>
      </x:c>
      <x:c r="B43" t="str">
        <x:v>8289</x:v>
      </x:c>
      <x:c r="C43" t="str">
        <x:v>泰藝</x:v>
      </x:c>
      <x:c r="D43" s="8" t="n">
        <x:v>135640</x:v>
      </x:c>
      <x:c r="E43" s="8" t="n">
        <x:v>205343</x:v>
      </x:c>
      <x:c r="F43" s="8" t="n">
        <x:v>69703</x:v>
      </x:c>
      <x:c r="G43" s="9" t="n">
        <x:v>0.51388233559422</x:v>
      </x:c>
    </x:row>
    <x:row r="44">
      <x:c r="A44" t="n">
        <x:v>10</x:v>
      </x:c>
      <x:c r="B44" t="str">
        <x:v>3357</x:v>
      </x:c>
      <x:c r="C44" t="str">
        <x:v>臺慶科</x:v>
      </x:c>
      <x:c r="D44" s="8" t="n">
        <x:v>578532</x:v>
      </x:c>
      <x:c r="E44" s="8" t="n">
        <x:v>855038</x:v>
      </x:c>
      <x:c r="F44" s="8" t="n">
        <x:v>276506</x:v>
      </x:c>
      <x:c r="G44" s="9" t="n">
        <x:v>0.4779441759487807</x:v>
      </x:c>
    </x:row>
    <x:row r="47">
      <x:c r="A47" s="39" t="str">
        <x:v>年增率最低前10名</x:v>
      </x:c>
      <x:c r="B47" s="39"/>
      <x:c r="C47" s="39"/>
      <x:c r="D47" s="39"/>
      <x:c r="E47" s="39"/>
      <x:c r="F47" s="39"/>
      <x:c r="G47" s="39"/>
    </x:row>
    <x:row r="48">
      <x:c r="A48" s="7" t="str">
        <x:v>名次</x:v>
      </x:c>
      <x:c r="B48" s="7" t="str">
        <x:v>代號</x:v>
      </x:c>
      <x:c r="C48" s="7" t="str">
        <x:v>公司</x:v>
      </x:c>
      <x:c r="D48" s="7" t="str">
        <x:v>2025/09</x:v>
      </x:c>
      <x:c r="E48" s="7" t="str">
        <x:v>2026/09</x:v>
      </x:c>
      <x:c r="F48" s="7" t="str">
        <x:v>年增減</x:v>
      </x:c>
      <x:c r="G48" s="7" t="str">
        <x:v>年增率</x:v>
      </x:c>
    </x:row>
    <x:row r="49">
      <x:c r="A49" t="n">
        <x:v>1</x:v>
      </x:c>
      <x:c r="B49" t="str">
        <x:v>6432</x:v>
      </x:c>
      <x:c r="C49" t="str">
        <x:v>今展科</x:v>
      </x:c>
      <x:c r="D49" s="8" t="n">
        <x:v>101226</x:v>
      </x:c>
      <x:c r="E49" s="8" t="n">
        <x:v>88147</x:v>
      </x:c>
      <x:c r="F49" s="8" t="n">
        <x:v>-13079</x:v>
      </x:c>
      <x:c r="G49" s="9" t="n">
        <x:v>-0.1292059352340308</x:v>
      </x:c>
    </x:row>
    <x:row r="50">
      <x:c r="A50" t="n">
        <x:v>2</x:v>
      </x:c>
      <x:c r="B50" t="str">
        <x:v>6821</x:v>
      </x:c>
      <x:c r="C50" t="str">
        <x:v>聯寶</x:v>
      </x:c>
      <x:c r="D50" s="8" t="n">
        <x:v>49221</x:v>
      </x:c>
      <x:c r="E50" s="8" t="n">
        <x:v>44182</x:v>
      </x:c>
      <x:c r="F50" s="8" t="n">
        <x:v>-5039</x:v>
      </x:c>
      <x:c r="G50" s="9" t="n">
        <x:v>-0.10237500253956644</x:v>
      </x:c>
    </x:row>
    <x:row r="51">
      <x:c r="A51" t="n">
        <x:v>3</x:v>
      </x:c>
      <x:c r="B51" t="str">
        <x:v>8182</x:v>
      </x:c>
      <x:c r="C51" t="str">
        <x:v>加高</x:v>
      </x:c>
      <x:c r="D51" s="8" t="n">
        <x:v>270088</x:v>
      </x:c>
      <x:c r="E51" s="8" t="n">
        <x:v>246913</x:v>
      </x:c>
      <x:c r="F51" s="8" t="n">
        <x:v>-23175</x:v>
      </x:c>
      <x:c r="G51" s="9" t="n">
        <x:v>-0.08580536713959895</x:v>
      </x:c>
    </x:row>
    <x:row r="52">
      <x:c r="A52" t="n">
        <x:v>4</x:v>
      </x:c>
      <x:c r="B52" t="str">
        <x:v>6204</x:v>
      </x:c>
      <x:c r="C52" t="str">
        <x:v>艾華</x:v>
      </x:c>
      <x:c r="D52" s="8" t="n">
        <x:v>38189</x:v>
      </x:c>
      <x:c r="E52" s="8" t="n">
        <x:v>35895</x:v>
      </x:c>
      <x:c r="F52" s="8" t="n">
        <x:v>-2294</x:v>
      </x:c>
      <x:c r="G52" s="9" t="n">
        <x:v>-0.060069653565162744</x:v>
      </x:c>
    </x:row>
    <x:row r="53">
      <x:c r="A53" t="n">
        <x:v>5</x:v>
      </x:c>
      <x:c r="B53" t="str">
        <x:v>8121</x:v>
      </x:c>
      <x:c r="C53" t="str">
        <x:v>越峰</x:v>
      </x:c>
      <x:c r="D53" s="8" t="n">
        <x:v>294232</x:v>
      </x:c>
      <x:c r="E53" s="8" t="n">
        <x:v>301003</x:v>
      </x:c>
      <x:c r="F53" s="8" t="n">
        <x:v>6771</x:v>
      </x:c>
      <x:c r="G53" s="9" t="n">
        <x:v>0.023012452758367545</x:v>
      </x:c>
    </x:row>
    <x:row r="54">
      <x:c r="A54" t="n">
        <x:v>6</x:v>
      </x:c>
      <x:c r="B54" t="str">
        <x:v>6284</x:v>
      </x:c>
      <x:c r="C54" t="str">
        <x:v>佳邦</x:v>
      </x:c>
      <x:c r="D54" s="8" t="n">
        <x:v>684819</x:v>
      </x:c>
      <x:c r="E54" s="8" t="n">
        <x:v>712300</x:v>
      </x:c>
      <x:c r="F54" s="8" t="n">
        <x:v>27481</x:v>
      </x:c>
      <x:c r="G54" s="9" t="n">
        <x:v>0.040128851565158094</x:v>
      </x:c>
    </x:row>
    <x:row r="55">
      <x:c r="A55" t="n">
        <x:v>7</x:v>
      </x:c>
      <x:c r="B55" t="str">
        <x:v>5328</x:v>
      </x:c>
      <x:c r="C55" t="str">
        <x:v>華容</x:v>
      </x:c>
      <x:c r="D55" s="8" t="n">
        <x:v>80199</x:v>
      </x:c>
      <x:c r="E55" s="8" t="n">
        <x:v>87592</x:v>
      </x:c>
      <x:c r="F55" s="8" t="n">
        <x:v>7393</x:v>
      </x:c>
      <x:c r="G55" s="9" t="n">
        <x:v>0.09218319430416838</x:v>
      </x:c>
    </x:row>
    <x:row r="56">
      <x:c r="A56" t="n">
        <x:v>8</x:v>
      </x:c>
      <x:c r="B56" t="str">
        <x:v>8043</x:v>
      </x:c>
      <x:c r="C56" t="str">
        <x:v>蜜望實</x:v>
      </x:c>
      <x:c r="D56" s="8" t="n">
        <x:v>468019</x:v>
      </x:c>
      <x:c r="E56" s="8" t="n">
        <x:v>527273</x:v>
      </x:c>
      <x:c r="F56" s="8" t="n">
        <x:v>59254</x:v>
      </x:c>
      <x:c r="G56" s="9" t="n">
        <x:v>0.12660597112510388</x:v>
      </x:c>
    </x:row>
    <x:row r="57">
      <x:c r="A57" t="n">
        <x:v>9</x:v>
      </x:c>
      <x:c r="B57" t="str">
        <x:v>2308</x:v>
      </x:c>
      <x:c r="C57" t="str">
        <x:v>台達電</x:v>
      </x:c>
      <x:c r="D57" s="8" t="n">
        <x:v>57060781</x:v>
      </x:c>
      <x:c r="E57" s="8" t="n">
        <x:v>65399563</x:v>
      </x:c>
      <x:c r="F57" s="8" t="n">
        <x:v>8338782</x:v>
      </x:c>
      <x:c r="G57" s="9" t="n">
        <x:v>0.1461385886043165</x:v>
      </x:c>
    </x:row>
    <x:row r="58">
      <x:c r="A58" t="n">
        <x:v>10</x:v>
      </x:c>
      <x:c r="B58" t="str">
        <x:v>6224</x:v>
      </x:c>
      <x:c r="C58" t="str">
        <x:v>聚鼎</x:v>
      </x:c>
      <x:c r="D58" s="8" t="n">
        <x:v>239165</x:v>
      </x:c>
      <x:c r="E58" s="8" t="n">
        <x:v>278205</x:v>
      </x:c>
      <x:c r="F58" s="8" t="n">
        <x:v>39040</x:v>
      </x:c>
      <x:c r="G58" s="9" t="n">
        <x:v>0.16323458700060628</x:v>
      </x:c>
    </x:row>
  </x:sheetData>
  <x:mergeCells>
    <x:mergeCell ref="A5:G5"/>
    <x:mergeCell ref="A19:G19"/>
    <x:mergeCell ref="A33:G33"/>
    <x:mergeCell ref="A47:G4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60" hidden="0" customWidth="1"/>
  </x:cols>
  <x:sheetData>
    <x:row r="2">
      <x:c r="A2" s="1" t="str">
        <x:v>來源與查證紀錄</x:v>
      </x:c>
    </x:row>
    <x:row r="3">
      <x:c r="A3" s="2" t="str">
        <x:v>官方端點提供資料年月11509、當月/上月/去年同月營收；差異值由工作表公式計算。</x:v>
      </x:c>
    </x:row>
    <x:row r="5">
      <x:c r="A5" s="7" t="str">
        <x:v>股票代號</x:v>
      </x:c>
      <x:c r="B5" s="7" t="str">
        <x:v>公司名稱</x:v>
      </x:c>
      <x:c r="C5" s="7" t="str">
        <x:v>市場</x:v>
      </x:c>
      <x:c r="D5" s="7" t="str">
        <x:v>資料年月</x:v>
      </x:c>
      <x:c r="E5" s="7" t="str">
        <x:v>公告/出表日</x:v>
      </x:c>
      <x:c r="F5" s="7" t="str">
        <x:v>來源連結</x:v>
      </x:c>
    </x:row>
    <x:row r="6">
      <x:c r="A6" s="41" t="str">
        <x:v>2308</x:v>
      </x:c>
      <x:c r="B6" s="41" t="str">
        <x:v>台達電</x:v>
      </x:c>
      <x:c r="C6" s="41" t="str">
        <x:v>上市</x:v>
      </x:c>
      <x:c r="D6" s="41" t="str">
        <x:v>11509</x:v>
      </x:c>
      <x:c r="E6" s="41" t="str">
        <x:v>115/10/13</x:v>
      </x:c>
      <x:c r="F6" s="27" t="str">
        <x:v>https://openapi.twse.com.tw/v1/opendata/t187ap05_L</x:v>
      </x:c>
    </x:row>
    <x:row r="7">
      <x:c r="A7" s="33" t="str">
        <x:v>2327</x:v>
      </x:c>
      <x:c r="B7" s="33" t="str">
        <x:v>國巨*</x:v>
      </x:c>
      <x:c r="C7" s="33" t="str">
        <x:v>上市</x:v>
      </x:c>
      <x:c r="D7" s="33" t="str">
        <x:v>11509</x:v>
      </x:c>
      <x:c r="E7" s="33" t="str">
        <x:v>115/10/13</x:v>
      </x:c>
      <x:c r="F7" s="22" t="str">
        <x:v>https://openapi.twse.com.tw/v1/opendata/t187ap05_L</x:v>
      </x:c>
    </x:row>
    <x:row r="8">
      <x:c r="A8" s="33" t="str">
        <x:v>2375</x:v>
      </x:c>
      <x:c r="B8" s="33" t="str">
        <x:v>凱美</x:v>
      </x:c>
      <x:c r="C8" s="33" t="str">
        <x:v>上市</x:v>
      </x:c>
      <x:c r="D8" s="33" t="str">
        <x:v>11509</x:v>
      </x:c>
      <x:c r="E8" s="33" t="str">
        <x:v>115/10/13</x:v>
      </x:c>
      <x:c r="F8" s="22" t="str">
        <x:v>https://openapi.twse.com.tw/v1/opendata/t187ap05_L</x:v>
      </x:c>
    </x:row>
    <x:row r="9">
      <x:c r="A9" s="33" t="str">
        <x:v>2428</x:v>
      </x:c>
      <x:c r="B9" s="33" t="str">
        <x:v>興勤</x:v>
      </x:c>
      <x:c r="C9" s="33" t="str">
        <x:v>上市</x:v>
      </x:c>
      <x:c r="D9" s="33" t="str">
        <x:v>11509</x:v>
      </x:c>
      <x:c r="E9" s="33" t="str">
        <x:v>115/10/13</x:v>
      </x:c>
      <x:c r="F9" s="22" t="str">
        <x:v>https://openapi.twse.com.tw/v1/opendata/t187ap05_L</x:v>
      </x:c>
    </x:row>
    <x:row r="10">
      <x:c r="A10" s="33" t="str">
        <x:v>2472</x:v>
      </x:c>
      <x:c r="B10" s="33" t="str">
        <x:v>立隆電</x:v>
      </x:c>
      <x:c r="C10" s="33" t="str">
        <x:v>上市</x:v>
      </x:c>
      <x:c r="D10" s="33" t="str">
        <x:v>11509</x:v>
      </x:c>
      <x:c r="E10" s="33" t="str">
        <x:v>115/10/13</x:v>
      </x:c>
      <x:c r="F10" s="22" t="str">
        <x:v>https://openapi.twse.com.tw/v1/opendata/t187ap05_L</x:v>
      </x:c>
    </x:row>
    <x:row r="11">
      <x:c r="A11" s="33" t="str">
        <x:v>2478</x:v>
      </x:c>
      <x:c r="B11" s="33" t="str">
        <x:v>大毅</x:v>
      </x:c>
      <x:c r="C11" s="33" t="str">
        <x:v>上市</x:v>
      </x:c>
      <x:c r="D11" s="33" t="str">
        <x:v>11509</x:v>
      </x:c>
      <x:c r="E11" s="33" t="str">
        <x:v>115/10/13</x:v>
      </x:c>
      <x:c r="F11" s="22" t="str">
        <x:v>https://openapi.twse.com.tw/v1/opendata/t187ap05_L</x:v>
      </x:c>
    </x:row>
    <x:row r="12">
      <x:c r="A12" s="33" t="str">
        <x:v>2484</x:v>
      </x:c>
      <x:c r="B12" s="33" t="str">
        <x:v>希華</x:v>
      </x:c>
      <x:c r="C12" s="33" t="str">
        <x:v>上市</x:v>
      </x:c>
      <x:c r="D12" s="33" t="str">
        <x:v>11509</x:v>
      </x:c>
      <x:c r="E12" s="33" t="str">
        <x:v>115/10/13</x:v>
      </x:c>
      <x:c r="F12" s="22" t="str">
        <x:v>https://openapi.twse.com.tw/v1/opendata/t187ap05_L</x:v>
      </x:c>
    </x:row>
    <x:row r="13">
      <x:c r="A13" s="33" t="str">
        <x:v>2492</x:v>
      </x:c>
      <x:c r="B13" s="33" t="str">
        <x:v>華新科</x:v>
      </x:c>
      <x:c r="C13" s="33" t="str">
        <x:v>上市</x:v>
      </x:c>
      <x:c r="D13" s="33" t="str">
        <x:v>11509</x:v>
      </x:c>
      <x:c r="E13" s="33" t="str">
        <x:v>115/10/13</x:v>
      </x:c>
      <x:c r="F13" s="22" t="str">
        <x:v>https://openapi.twse.com.tw/v1/opendata/t187ap05_L</x:v>
      </x:c>
    </x:row>
    <x:row r="14">
      <x:c r="A14" s="33" t="str">
        <x:v>3026</x:v>
      </x:c>
      <x:c r="B14" s="33" t="str">
        <x:v>禾伸堂</x:v>
      </x:c>
      <x:c r="C14" s="33" t="str">
        <x:v>上市</x:v>
      </x:c>
      <x:c r="D14" s="33" t="str">
        <x:v>11509</x:v>
      </x:c>
      <x:c r="E14" s="33" t="str">
        <x:v>115/10/13</x:v>
      </x:c>
      <x:c r="F14" s="22" t="str">
        <x:v>https://openapi.twse.com.tw/v1/opendata/t187ap05_L</x:v>
      </x:c>
    </x:row>
    <x:row r="15">
      <x:c r="A15" s="33" t="str">
        <x:v>3090</x:v>
      </x:c>
      <x:c r="B15" s="33" t="str">
        <x:v>日電貿</x:v>
      </x:c>
      <x:c r="C15" s="33" t="str">
        <x:v>上市</x:v>
      </x:c>
      <x:c r="D15" s="33" t="str">
        <x:v>11509</x:v>
      </x:c>
      <x:c r="E15" s="33" t="str">
        <x:v>115/10/13</x:v>
      </x:c>
      <x:c r="F15" s="22" t="str">
        <x:v>https://openapi.twse.com.tw/v1/opendata/t187ap05_L</x:v>
      </x:c>
    </x:row>
    <x:row r="16">
      <x:c r="A16" s="33" t="str">
        <x:v>3117</x:v>
      </x:c>
      <x:c r="B16" s="33" t="str">
        <x:v>年程</x:v>
      </x:c>
      <x:c r="C16" s="33" t="str">
        <x:v>上櫃</x:v>
      </x:c>
      <x:c r="D16" s="33" t="str">
        <x:v>11509</x:v>
      </x:c>
      <x:c r="E16" s="33" t="str">
        <x:v>未回傳</x:v>
      </x:c>
      <x:c r="F16" s="22" t="str">
        <x:v>https://www.tpex.org.tw/openapi/v1/mopsfin_t187ap05_O</x:v>
      </x:c>
    </x:row>
    <x:row r="17">
      <x:c r="A17" s="33" t="str">
        <x:v>3236</x:v>
      </x:c>
      <x:c r="B17" s="33" t="str">
        <x:v>千如</x:v>
      </x:c>
      <x:c r="C17" s="33" t="str">
        <x:v>上櫃</x:v>
      </x:c>
      <x:c r="D17" s="33" t="str">
        <x:v>11509</x:v>
      </x:c>
      <x:c r="E17" s="33" t="str">
        <x:v>115/10/14</x:v>
      </x:c>
      <x:c r="F17" s="22" t="str">
        <x:v>https://www.tpex.org.tw/openapi/v1/mopsfin_t187ap05_O</x:v>
      </x:c>
    </x:row>
    <x:row r="18">
      <x:c r="A18" s="33" t="str">
        <x:v>3357</x:v>
      </x:c>
      <x:c r="B18" s="33" t="str">
        <x:v>臺慶科</x:v>
      </x:c>
      <x:c r="C18" s="33" t="str">
        <x:v>上櫃</x:v>
      </x:c>
      <x:c r="D18" s="33" t="str">
        <x:v>11509</x:v>
      </x:c>
      <x:c r="E18" s="33" t="str">
        <x:v>115/10/14</x:v>
      </x:c>
      <x:c r="F18" s="22" t="str">
        <x:v>https://www.tpex.org.tw/openapi/v1/mopsfin_t187ap05_O</x:v>
      </x:c>
    </x:row>
    <x:row r="19">
      <x:c r="A19" s="33" t="str">
        <x:v>3624</x:v>
      </x:c>
      <x:c r="B19" s="33" t="str">
        <x:v>光頡</x:v>
      </x:c>
      <x:c r="C19" s="33" t="str">
        <x:v>上櫃</x:v>
      </x:c>
      <x:c r="D19" s="33" t="str">
        <x:v>11509</x:v>
      </x:c>
      <x:c r="E19" s="33" t="str">
        <x:v>115/10/14</x:v>
      </x:c>
      <x:c r="F19" s="22" t="str">
        <x:v>https://www.tpex.org.tw/openapi/v1/mopsfin_t187ap05_O</x:v>
      </x:c>
    </x:row>
    <x:row r="20">
      <x:c r="A20" s="33" t="str">
        <x:v>3663</x:v>
      </x:c>
      <x:c r="B20" s="33" t="str">
        <x:v>鑫科</x:v>
      </x:c>
      <x:c r="C20" s="33" t="str">
        <x:v>上櫃</x:v>
      </x:c>
      <x:c r="D20" s="33" t="str">
        <x:v>11509</x:v>
      </x:c>
      <x:c r="E20" s="33" t="str">
        <x:v>115/10/14</x:v>
      </x:c>
      <x:c r="F20" s="22" t="str">
        <x:v>https://www.tpex.org.tw/openapi/v1/mopsfin_t187ap05_O</x:v>
      </x:c>
    </x:row>
    <x:row r="21">
      <x:c r="A21" s="33" t="str">
        <x:v>4760</x:v>
      </x:c>
      <x:c r="B21" s="33" t="str">
        <x:v>勤凱科技</x:v>
      </x:c>
      <x:c r="C21" s="33" t="str">
        <x:v>上櫃</x:v>
      </x:c>
      <x:c r="D21" s="33" t="str">
        <x:v>11509</x:v>
      </x:c>
      <x:c r="E21" s="33" t="str">
        <x:v>115/10/14</x:v>
      </x:c>
      <x:c r="F21" s="22" t="str">
        <x:v>https://www.tpex.org.tw/openapi/v1/mopsfin_t187ap05_O</x:v>
      </x:c>
    </x:row>
    <x:row r="22">
      <x:c r="A22" s="33" t="str">
        <x:v>5228</x:v>
      </x:c>
      <x:c r="B22" s="33" t="str">
        <x:v>鈺鎧</x:v>
      </x:c>
      <x:c r="C22" s="33" t="str">
        <x:v>上櫃</x:v>
      </x:c>
      <x:c r="D22" s="33" t="str">
        <x:v>11509</x:v>
      </x:c>
      <x:c r="E22" s="33" t="str">
        <x:v>115/10/14</x:v>
      </x:c>
      <x:c r="F22" s="22" t="str">
        <x:v>https://www.tpex.org.tw/openapi/v1/mopsfin_t187ap05_O</x:v>
      </x:c>
    </x:row>
    <x:row r="23">
      <x:c r="A23" s="33" t="str">
        <x:v>5328</x:v>
      </x:c>
      <x:c r="B23" s="33" t="str">
        <x:v>華容</x:v>
      </x:c>
      <x:c r="C23" s="33" t="str">
        <x:v>上櫃</x:v>
      </x:c>
      <x:c r="D23" s="33" t="str">
        <x:v>11509</x:v>
      </x:c>
      <x:c r="E23" s="33" t="str">
        <x:v>115/10/14</x:v>
      </x:c>
      <x:c r="F23" s="22" t="str">
        <x:v>https://www.tpex.org.tw/openapi/v1/mopsfin_t187ap05_O</x:v>
      </x:c>
    </x:row>
    <x:row r="24">
      <x:c r="A24" s="33" t="str">
        <x:v>5434</x:v>
      </x:c>
      <x:c r="B24" s="33" t="str">
        <x:v>崇越</x:v>
      </x:c>
      <x:c r="C24" s="33" t="str">
        <x:v>上市</x:v>
      </x:c>
      <x:c r="D24" s="33" t="str">
        <x:v>11509</x:v>
      </x:c>
      <x:c r="E24" s="33" t="str">
        <x:v>115/10/13</x:v>
      </x:c>
      <x:c r="F24" s="22" t="str">
        <x:v>https://openapi.twse.com.tw/v1/opendata/t187ap05_L</x:v>
      </x:c>
    </x:row>
    <x:row r="25">
      <x:c r="A25" s="33" t="str">
        <x:v>6127</x:v>
      </x:c>
      <x:c r="B25" s="33" t="str">
        <x:v>九豪</x:v>
      </x:c>
      <x:c r="C25" s="33" t="str">
        <x:v>上櫃</x:v>
      </x:c>
      <x:c r="D25" s="33" t="str">
        <x:v>11509</x:v>
      </x:c>
      <x:c r="E25" s="33" t="str">
        <x:v>115/10/14</x:v>
      </x:c>
      <x:c r="F25" s="22" t="str">
        <x:v>https://www.tpex.org.tw/openapi/v1/mopsfin_t187ap05_O</x:v>
      </x:c>
    </x:row>
    <x:row r="26">
      <x:c r="A26" s="33" t="str">
        <x:v>6155</x:v>
      </x:c>
      <x:c r="B26" s="33" t="str">
        <x:v>鈞寶</x:v>
      </x:c>
      <x:c r="C26" s="33" t="str">
        <x:v>上市</x:v>
      </x:c>
      <x:c r="D26" s="33" t="str">
        <x:v>11509</x:v>
      </x:c>
      <x:c r="E26" s="33" t="str">
        <x:v>115/10/13</x:v>
      </x:c>
      <x:c r="F26" s="22" t="str">
        <x:v>https://openapi.twse.com.tw/v1/opendata/t187ap05_L</x:v>
      </x:c>
    </x:row>
    <x:row r="27">
      <x:c r="A27" s="33" t="str">
        <x:v>6156</x:v>
      </x:c>
      <x:c r="B27" s="33" t="str">
        <x:v>松上</x:v>
      </x:c>
      <x:c r="C27" s="33" t="str">
        <x:v>上櫃</x:v>
      </x:c>
      <x:c r="D27" s="33" t="str">
        <x:v>11509</x:v>
      </x:c>
      <x:c r="E27" s="33" t="str">
        <x:v>115/10/14</x:v>
      </x:c>
      <x:c r="F27" s="22" t="str">
        <x:v>https://www.tpex.org.tw/openapi/v1/mopsfin_t187ap05_O</x:v>
      </x:c>
    </x:row>
    <x:row r="28">
      <x:c r="A28" s="33" t="str">
        <x:v>6173</x:v>
      </x:c>
      <x:c r="B28" s="33" t="str">
        <x:v>信昌電</x:v>
      </x:c>
      <x:c r="C28" s="33" t="str">
        <x:v>上櫃</x:v>
      </x:c>
      <x:c r="D28" s="33" t="str">
        <x:v>11509</x:v>
      </x:c>
      <x:c r="E28" s="33" t="str">
        <x:v>115/10/14</x:v>
      </x:c>
      <x:c r="F28" s="22" t="str">
        <x:v>https://www.tpex.org.tw/openapi/v1/mopsfin_t187ap05_O</x:v>
      </x:c>
    </x:row>
    <x:row r="29">
      <x:c r="A29" s="33" t="str">
        <x:v>6174</x:v>
      </x:c>
      <x:c r="B29" s="33" t="str">
        <x:v>安碁</x:v>
      </x:c>
      <x:c r="C29" s="33" t="str">
        <x:v>上櫃</x:v>
      </x:c>
      <x:c r="D29" s="33" t="str">
        <x:v>11509</x:v>
      </x:c>
      <x:c r="E29" s="33" t="str">
        <x:v>115/10/14</x:v>
      </x:c>
      <x:c r="F29" s="22" t="str">
        <x:v>https://www.tpex.org.tw/openapi/v1/mopsfin_t187ap05_O</x:v>
      </x:c>
    </x:row>
    <x:row r="30">
      <x:c r="A30" s="33" t="str">
        <x:v>6175</x:v>
      </x:c>
      <x:c r="B30" s="33" t="str">
        <x:v>立敦</x:v>
      </x:c>
      <x:c r="C30" s="33" t="str">
        <x:v>上櫃</x:v>
      </x:c>
      <x:c r="D30" s="33" t="str">
        <x:v>11509</x:v>
      </x:c>
      <x:c r="E30" s="33" t="str">
        <x:v>115/10/14</x:v>
      </x:c>
      <x:c r="F30" s="22" t="str">
        <x:v>https://www.tpex.org.tw/openapi/v1/mopsfin_t187ap05_O</x:v>
      </x:c>
    </x:row>
    <x:row r="31">
      <x:c r="A31" s="33" t="str">
        <x:v>6204</x:v>
      </x:c>
      <x:c r="B31" s="33" t="str">
        <x:v>艾華</x:v>
      </x:c>
      <x:c r="C31" s="33" t="str">
        <x:v>上櫃</x:v>
      </x:c>
      <x:c r="D31" s="33" t="str">
        <x:v>11509</x:v>
      </x:c>
      <x:c r="E31" s="33" t="str">
        <x:v>115/10/14</x:v>
      </x:c>
      <x:c r="F31" s="22" t="str">
        <x:v>https://www.tpex.org.tw/openapi/v1/mopsfin_t187ap05_O</x:v>
      </x:c>
    </x:row>
    <x:row r="32">
      <x:c r="A32" s="33" t="str">
        <x:v>6207</x:v>
      </x:c>
      <x:c r="B32" s="33" t="str">
        <x:v>雷科</x:v>
      </x:c>
      <x:c r="C32" s="33" t="str">
        <x:v>上櫃</x:v>
      </x:c>
      <x:c r="D32" s="33" t="str">
        <x:v>11509</x:v>
      </x:c>
      <x:c r="E32" s="33" t="str">
        <x:v>115/10/14</x:v>
      </x:c>
      <x:c r="F32" s="22" t="str">
        <x:v>https://www.tpex.org.tw/openapi/v1/mopsfin_t187ap05_O</x:v>
      </x:c>
    </x:row>
    <x:row r="33">
      <x:c r="A33" s="33" t="str">
        <x:v>6224</x:v>
      </x:c>
      <x:c r="B33" s="33" t="str">
        <x:v>聚鼎</x:v>
      </x:c>
      <x:c r="C33" s="33" t="str">
        <x:v>上市</x:v>
      </x:c>
      <x:c r="D33" s="33" t="str">
        <x:v>11509</x:v>
      </x:c>
      <x:c r="E33" s="33" t="str">
        <x:v>115/10/13</x:v>
      </x:c>
      <x:c r="F33" s="22" t="str">
        <x:v>https://openapi.twse.com.tw/v1/opendata/t187ap05_L</x:v>
      </x:c>
    </x:row>
    <x:row r="34">
      <x:c r="A34" s="33" t="str">
        <x:v>6284</x:v>
      </x:c>
      <x:c r="B34" s="33" t="str">
        <x:v>佳邦</x:v>
      </x:c>
      <x:c r="C34" s="33" t="str">
        <x:v>上市</x:v>
      </x:c>
      <x:c r="D34" s="33" t="str">
        <x:v>11509</x:v>
      </x:c>
      <x:c r="E34" s="33" t="str">
        <x:v>115/10/14</x:v>
      </x:c>
      <x:c r="F34" s="22" t="str">
        <x:v>https://openapi.twse.com.tw/v1/opendata/t187ap05_L</x:v>
      </x:c>
    </x:row>
    <x:row r="35">
      <x:c r="A35" s="33" t="str">
        <x:v>6432</x:v>
      </x:c>
      <x:c r="B35" s="33" t="str">
        <x:v>今展科</x:v>
      </x:c>
      <x:c r="C35" s="33" t="str">
        <x:v>上櫃</x:v>
      </x:c>
      <x:c r="D35" s="33" t="str">
        <x:v>11509</x:v>
      </x:c>
      <x:c r="E35" s="33" t="str">
        <x:v>115/10/14</x:v>
      </x:c>
      <x:c r="F35" s="22" t="str">
        <x:v>https://www.tpex.org.tw/openapi/v1/mopsfin_t187ap05_O</x:v>
      </x:c>
    </x:row>
    <x:row r="36">
      <x:c r="A36" s="33" t="str">
        <x:v>6449</x:v>
      </x:c>
      <x:c r="B36" s="33" t="str">
        <x:v>鈺邦</x:v>
      </x:c>
      <x:c r="C36" s="33" t="str">
        <x:v>上市</x:v>
      </x:c>
      <x:c r="D36" s="33" t="str">
        <x:v>11509</x:v>
      </x:c>
      <x:c r="E36" s="33" t="str">
        <x:v>115/10/13</x:v>
      </x:c>
      <x:c r="F36" s="22" t="str">
        <x:v>https://openapi.twse.com.tw/v1/opendata/t187ap05_L</x:v>
      </x:c>
    </x:row>
    <x:row r="37">
      <x:c r="A37" s="33" t="str">
        <x:v>6821</x:v>
      </x:c>
      <x:c r="B37" s="33" t="str">
        <x:v>聯寶</x:v>
      </x:c>
      <x:c r="C37" s="33" t="str">
        <x:v>上櫃</x:v>
      </x:c>
      <x:c r="D37" s="33" t="str">
        <x:v>11509</x:v>
      </x:c>
      <x:c r="E37" s="33" t="str">
        <x:v>115/10/14</x:v>
      </x:c>
      <x:c r="F37" s="22" t="str">
        <x:v>https://www.tpex.org.tw/openapi/v1/mopsfin_t187ap05_O</x:v>
      </x:c>
    </x:row>
    <x:row r="38">
      <x:c r="A38" s="33" t="str">
        <x:v>8042</x:v>
      </x:c>
      <x:c r="B38" s="33" t="str">
        <x:v>金山電</x:v>
      </x:c>
      <x:c r="C38" s="33" t="str">
        <x:v>上櫃</x:v>
      </x:c>
      <x:c r="D38" s="33" t="str">
        <x:v>11509</x:v>
      </x:c>
      <x:c r="E38" s="33" t="str">
        <x:v>115/10/14</x:v>
      </x:c>
      <x:c r="F38" s="22" t="str">
        <x:v>https://www.tpex.org.tw/openapi/v1/mopsfin_t187ap05_O</x:v>
      </x:c>
    </x:row>
    <x:row r="39">
      <x:c r="A39" s="33" t="str">
        <x:v>8043</x:v>
      </x:c>
      <x:c r="B39" s="33" t="str">
        <x:v>蜜望實</x:v>
      </x:c>
      <x:c r="C39" s="33" t="str">
        <x:v>上櫃</x:v>
      </x:c>
      <x:c r="D39" s="33" t="str">
        <x:v>11509</x:v>
      </x:c>
      <x:c r="E39" s="33" t="str">
        <x:v>115/10/14</x:v>
      </x:c>
      <x:c r="F39" s="22" t="str">
        <x:v>https://www.tpex.org.tw/openapi/v1/mopsfin_t187ap05_O</x:v>
      </x:c>
    </x:row>
    <x:row r="40">
      <x:c r="A40" s="33" t="str">
        <x:v>8071</x:v>
      </x:c>
      <x:c r="B40" s="33" t="str">
        <x:v>能率網通</x:v>
      </x:c>
      <x:c r="C40" s="33" t="str">
        <x:v>上櫃</x:v>
      </x:c>
      <x:c r="D40" s="33" t="str">
        <x:v>11509</x:v>
      </x:c>
      <x:c r="E40" s="33" t="str">
        <x:v>115/10/14</x:v>
      </x:c>
      <x:c r="F40" s="22" t="str">
        <x:v>https://www.tpex.org.tw/openapi/v1/mopsfin_t187ap05_O</x:v>
      </x:c>
    </x:row>
    <x:row r="41">
      <x:c r="A41" s="33" t="str">
        <x:v>8121</x:v>
      </x:c>
      <x:c r="B41" s="33" t="str">
        <x:v>越峰</x:v>
      </x:c>
      <x:c r="C41" s="33" t="str">
        <x:v>上櫃</x:v>
      </x:c>
      <x:c r="D41" s="33" t="str">
        <x:v>11509</x:v>
      </x:c>
      <x:c r="E41" s="33" t="str">
        <x:v>115/10/14</x:v>
      </x:c>
      <x:c r="F41" s="22" t="str">
        <x:v>https://www.tpex.org.tw/openapi/v1/mopsfin_t187ap05_O</x:v>
      </x:c>
    </x:row>
    <x:row r="42">
      <x:c r="A42" s="33" t="str">
        <x:v>8182</x:v>
      </x:c>
      <x:c r="B42" s="33" t="str">
        <x:v>加高</x:v>
      </x:c>
      <x:c r="C42" s="33" t="str">
        <x:v>上櫃</x:v>
      </x:c>
      <x:c r="D42" s="33" t="str">
        <x:v>11509</x:v>
      </x:c>
      <x:c r="E42" s="33" t="str">
        <x:v>115/10/14</x:v>
      </x:c>
      <x:c r="F42" s="22" t="str">
        <x:v>https://www.tpex.org.tw/openapi/v1/mopsfin_t187ap05_O</x:v>
      </x:c>
    </x:row>
    <x:row r="43">
      <x:c r="A43" s="33" t="str">
        <x:v>8289</x:v>
      </x:c>
      <x:c r="B43" s="33" t="str">
        <x:v>泰藝</x:v>
      </x:c>
      <x:c r="C43" s="33" t="str">
        <x:v>上櫃</x:v>
      </x:c>
      <x:c r="D43" s="33" t="str">
        <x:v>11509</x:v>
      </x:c>
      <x:c r="E43" s="33" t="str">
        <x:v>115/10/14</x:v>
      </x:c>
      <x:c r="F43" s="22" t="str">
        <x:v>https://www.tpex.org.tw/openapi/v1/mopsfin_t187ap05_O</x:v>
      </x:c>
    </x:row>
  </x:sheetData>
  <x:pageMargins left="0.7" right="0.7" top="0.75" bottom="0.75" header="0.3" footer="0.3"/>
</x:worksheet>
</file>